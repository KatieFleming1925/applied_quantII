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AppData\Local\Microsoft\Windows\INetCache\Content.Outlook\U1M1241I\"/>
    </mc:Choice>
  </mc:AlternateContent>
  <xr:revisionPtr revIDLastSave="0" documentId="13_ncr:1_{5C429ACF-2F04-4107-9116-5ABA73468903}" xr6:coauthVersionLast="47" xr6:coauthVersionMax="47" xr10:uidLastSave="{00000000-0000-0000-0000-000000000000}"/>
  <bookViews>
    <workbookView xWindow="-108" yWindow="-108" windowWidth="23256" windowHeight="12576" xr2:uid="{855CA529-09A5-4F9F-8A1E-3411F953B939}"/>
  </bookViews>
  <sheets>
    <sheet name="Codebook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2" i="1" l="1"/>
  <c r="AA2" i="1"/>
  <c r="Z2" i="1"/>
  <c r="Y2" i="1"/>
  <c r="X2" i="1"/>
  <c r="W2" i="1"/>
  <c r="V2" i="1"/>
  <c r="U2" i="1"/>
  <c r="T2" i="1"/>
  <c r="S2" i="1"/>
  <c r="R2" i="1"/>
  <c r="Q2" i="1"/>
  <c r="J2" i="1"/>
  <c r="R3" i="1"/>
  <c r="AB77" i="1"/>
  <c r="AA47" i="1"/>
  <c r="Y53" i="1"/>
  <c r="X3" i="1"/>
  <c r="V4" i="1"/>
  <c r="AB4" i="1" s="1"/>
  <c r="V5" i="1"/>
  <c r="AB5" i="1" s="1"/>
  <c r="V6" i="1"/>
  <c r="AB6" i="1" s="1"/>
  <c r="V7" i="1"/>
  <c r="AB7" i="1" s="1"/>
  <c r="V8" i="1"/>
  <c r="AB8" i="1" s="1"/>
  <c r="V9" i="1"/>
  <c r="AB9" i="1" s="1"/>
  <c r="V10" i="1"/>
  <c r="AB10" i="1" s="1"/>
  <c r="V12" i="1"/>
  <c r="AB12" i="1" s="1"/>
  <c r="V13" i="1"/>
  <c r="AB13" i="1" s="1"/>
  <c r="V14" i="1"/>
  <c r="AB14" i="1" s="1"/>
  <c r="V15" i="1"/>
  <c r="AB15" i="1" s="1"/>
  <c r="V16" i="1"/>
  <c r="AB16" i="1" s="1"/>
  <c r="V17" i="1"/>
  <c r="AB17" i="1" s="1"/>
  <c r="V18" i="1"/>
  <c r="AB18" i="1" s="1"/>
  <c r="V19" i="1"/>
  <c r="AB19" i="1" s="1"/>
  <c r="V20" i="1"/>
  <c r="AB20" i="1" s="1"/>
  <c r="V21" i="1"/>
  <c r="AB21" i="1" s="1"/>
  <c r="V22" i="1"/>
  <c r="AB22" i="1" s="1"/>
  <c r="V23" i="1"/>
  <c r="AB23" i="1" s="1"/>
  <c r="V24" i="1"/>
  <c r="AB24" i="1" s="1"/>
  <c r="V25" i="1"/>
  <c r="AB25" i="1" s="1"/>
  <c r="V26" i="1"/>
  <c r="AB26" i="1" s="1"/>
  <c r="V27" i="1"/>
  <c r="AB27" i="1" s="1"/>
  <c r="V28" i="1"/>
  <c r="AB28" i="1" s="1"/>
  <c r="V29" i="1"/>
  <c r="AB29" i="1" s="1"/>
  <c r="V30" i="1"/>
  <c r="AB30" i="1" s="1"/>
  <c r="V31" i="1"/>
  <c r="AB31" i="1" s="1"/>
  <c r="V32" i="1"/>
  <c r="AB32" i="1" s="1"/>
  <c r="V33" i="1"/>
  <c r="AB33" i="1" s="1"/>
  <c r="V34" i="1"/>
  <c r="AB34" i="1" s="1"/>
  <c r="V35" i="1"/>
  <c r="AB35" i="1" s="1"/>
  <c r="V37" i="1"/>
  <c r="AB37" i="1" s="1"/>
  <c r="V38" i="1"/>
  <c r="AB38" i="1" s="1"/>
  <c r="V39" i="1"/>
  <c r="AB39" i="1" s="1"/>
  <c r="V40" i="1"/>
  <c r="AB40" i="1" s="1"/>
  <c r="V41" i="1"/>
  <c r="AB41" i="1" s="1"/>
  <c r="V42" i="1"/>
  <c r="AB42" i="1" s="1"/>
  <c r="V43" i="1"/>
  <c r="AB43" i="1" s="1"/>
  <c r="V44" i="1"/>
  <c r="AB44" i="1" s="1"/>
  <c r="V45" i="1"/>
  <c r="AB45" i="1" s="1"/>
  <c r="V46" i="1"/>
  <c r="AB46" i="1" s="1"/>
  <c r="V47" i="1"/>
  <c r="AB47" i="1" s="1"/>
  <c r="V48" i="1"/>
  <c r="AB48" i="1" s="1"/>
  <c r="V49" i="1"/>
  <c r="AB49" i="1" s="1"/>
  <c r="V50" i="1"/>
  <c r="AB50" i="1" s="1"/>
  <c r="V51" i="1"/>
  <c r="AB51" i="1" s="1"/>
  <c r="V52" i="1"/>
  <c r="AB52" i="1" s="1"/>
  <c r="V53" i="1"/>
  <c r="AB53" i="1" s="1"/>
  <c r="V54" i="1"/>
  <c r="AB54" i="1" s="1"/>
  <c r="V55" i="1"/>
  <c r="AB55" i="1" s="1"/>
  <c r="V57" i="1"/>
  <c r="AB57" i="1" s="1"/>
  <c r="V58" i="1"/>
  <c r="AB58" i="1" s="1"/>
  <c r="V59" i="1"/>
  <c r="AB59" i="1" s="1"/>
  <c r="V60" i="1"/>
  <c r="AB60" i="1" s="1"/>
  <c r="V62" i="1"/>
  <c r="AB62" i="1" s="1"/>
  <c r="V63" i="1"/>
  <c r="AB63" i="1" s="1"/>
  <c r="V64" i="1"/>
  <c r="AB64" i="1" s="1"/>
  <c r="V65" i="1"/>
  <c r="AB65" i="1" s="1"/>
  <c r="V66" i="1"/>
  <c r="AB66" i="1" s="1"/>
  <c r="V67" i="1"/>
  <c r="AB67" i="1" s="1"/>
  <c r="V68" i="1"/>
  <c r="AB68" i="1" s="1"/>
  <c r="V69" i="1"/>
  <c r="AB69" i="1" s="1"/>
  <c r="V70" i="1"/>
  <c r="AB70" i="1" s="1"/>
  <c r="V71" i="1"/>
  <c r="AB71" i="1" s="1"/>
  <c r="V72" i="1"/>
  <c r="AB72" i="1" s="1"/>
  <c r="V73" i="1"/>
  <c r="AB73" i="1" s="1"/>
  <c r="V74" i="1"/>
  <c r="AB74" i="1" s="1"/>
  <c r="V75" i="1"/>
  <c r="AB75" i="1" s="1"/>
  <c r="V76" i="1"/>
  <c r="AB76" i="1" s="1"/>
  <c r="V77" i="1"/>
  <c r="V78" i="1"/>
  <c r="AB78" i="1" s="1"/>
  <c r="V79" i="1"/>
  <c r="AB79" i="1" s="1"/>
  <c r="V80" i="1"/>
  <c r="AB80" i="1" s="1"/>
  <c r="V81" i="1"/>
  <c r="AB81" i="1" s="1"/>
  <c r="V82" i="1"/>
  <c r="AB82" i="1" s="1"/>
  <c r="V83" i="1"/>
  <c r="AB83" i="1" s="1"/>
  <c r="V84" i="1"/>
  <c r="AB84" i="1" s="1"/>
  <c r="V85" i="1"/>
  <c r="AB85" i="1" s="1"/>
  <c r="V86" i="1"/>
  <c r="AB86" i="1" s="1"/>
  <c r="V87" i="1"/>
  <c r="AB87" i="1" s="1"/>
  <c r="V88" i="1"/>
  <c r="AB88" i="1" s="1"/>
  <c r="V89" i="1"/>
  <c r="AB89" i="1" s="1"/>
  <c r="V90" i="1"/>
  <c r="AB90" i="1" s="1"/>
  <c r="V91" i="1"/>
  <c r="AB91" i="1" s="1"/>
  <c r="V92" i="1"/>
  <c r="AB92" i="1" s="1"/>
  <c r="V93" i="1"/>
  <c r="AB93" i="1" s="1"/>
  <c r="V96" i="1"/>
  <c r="AB96" i="1" s="1"/>
  <c r="V97" i="1"/>
  <c r="AB97" i="1" s="1"/>
  <c r="V98" i="1"/>
  <c r="AB98" i="1" s="1"/>
  <c r="V99" i="1"/>
  <c r="AB99" i="1" s="1"/>
  <c r="V3" i="1"/>
  <c r="AB3" i="1" s="1"/>
  <c r="U4" i="1"/>
  <c r="AA4" i="1" s="1"/>
  <c r="U5" i="1"/>
  <c r="AA5" i="1" s="1"/>
  <c r="U6" i="1"/>
  <c r="AA6" i="1" s="1"/>
  <c r="U7" i="1"/>
  <c r="AA7" i="1" s="1"/>
  <c r="U8" i="1"/>
  <c r="AA8" i="1" s="1"/>
  <c r="U9" i="1"/>
  <c r="AA9" i="1" s="1"/>
  <c r="U10" i="1"/>
  <c r="AA10" i="1" s="1"/>
  <c r="U12" i="1"/>
  <c r="AA12" i="1" s="1"/>
  <c r="U13" i="1"/>
  <c r="AA13" i="1" s="1"/>
  <c r="U14" i="1"/>
  <c r="AA14" i="1" s="1"/>
  <c r="U15" i="1"/>
  <c r="AA15" i="1" s="1"/>
  <c r="U16" i="1"/>
  <c r="AA16" i="1" s="1"/>
  <c r="U17" i="1"/>
  <c r="AA17" i="1" s="1"/>
  <c r="U18" i="1"/>
  <c r="AA18" i="1" s="1"/>
  <c r="U19" i="1"/>
  <c r="AA19" i="1" s="1"/>
  <c r="U20" i="1"/>
  <c r="AA20" i="1" s="1"/>
  <c r="U21" i="1"/>
  <c r="AA21" i="1" s="1"/>
  <c r="U22" i="1"/>
  <c r="AA22" i="1" s="1"/>
  <c r="U23" i="1"/>
  <c r="AA23" i="1" s="1"/>
  <c r="U24" i="1"/>
  <c r="AA24" i="1" s="1"/>
  <c r="U25" i="1"/>
  <c r="AA25" i="1" s="1"/>
  <c r="U26" i="1"/>
  <c r="AA26" i="1" s="1"/>
  <c r="U27" i="1"/>
  <c r="AA27" i="1" s="1"/>
  <c r="U28" i="1"/>
  <c r="AA28" i="1" s="1"/>
  <c r="U29" i="1"/>
  <c r="AA29" i="1" s="1"/>
  <c r="U30" i="1"/>
  <c r="AA30" i="1" s="1"/>
  <c r="U31" i="1"/>
  <c r="AA31" i="1" s="1"/>
  <c r="U32" i="1"/>
  <c r="AA32" i="1" s="1"/>
  <c r="U33" i="1"/>
  <c r="AA33" i="1" s="1"/>
  <c r="U34" i="1"/>
  <c r="AA34" i="1" s="1"/>
  <c r="U35" i="1"/>
  <c r="AA35" i="1" s="1"/>
  <c r="U37" i="1"/>
  <c r="AA37" i="1" s="1"/>
  <c r="U38" i="1"/>
  <c r="AA38" i="1" s="1"/>
  <c r="U39" i="1"/>
  <c r="AA39" i="1" s="1"/>
  <c r="U40" i="1"/>
  <c r="AA40" i="1" s="1"/>
  <c r="U41" i="1"/>
  <c r="AA41" i="1" s="1"/>
  <c r="U42" i="1"/>
  <c r="AA42" i="1" s="1"/>
  <c r="U43" i="1"/>
  <c r="AA43" i="1" s="1"/>
  <c r="U44" i="1"/>
  <c r="AA44" i="1" s="1"/>
  <c r="U45" i="1"/>
  <c r="AA45" i="1" s="1"/>
  <c r="U46" i="1"/>
  <c r="AA46" i="1" s="1"/>
  <c r="U47" i="1"/>
  <c r="U48" i="1"/>
  <c r="AA48" i="1" s="1"/>
  <c r="U49" i="1"/>
  <c r="AA49" i="1" s="1"/>
  <c r="U50" i="1"/>
  <c r="AA50" i="1" s="1"/>
  <c r="U51" i="1"/>
  <c r="AA51" i="1" s="1"/>
  <c r="U52" i="1"/>
  <c r="AA52" i="1" s="1"/>
  <c r="U53" i="1"/>
  <c r="AA53" i="1" s="1"/>
  <c r="U54" i="1"/>
  <c r="AA54" i="1" s="1"/>
  <c r="U55" i="1"/>
  <c r="AA55" i="1" s="1"/>
  <c r="U57" i="1"/>
  <c r="AA57" i="1" s="1"/>
  <c r="U58" i="1"/>
  <c r="AA58" i="1" s="1"/>
  <c r="U59" i="1"/>
  <c r="AA59" i="1" s="1"/>
  <c r="U60" i="1"/>
  <c r="AA60" i="1" s="1"/>
  <c r="U62" i="1"/>
  <c r="AA62" i="1" s="1"/>
  <c r="U63" i="1"/>
  <c r="AA63" i="1" s="1"/>
  <c r="U64" i="1"/>
  <c r="AA64" i="1" s="1"/>
  <c r="U65" i="1"/>
  <c r="AA65" i="1" s="1"/>
  <c r="U66" i="1"/>
  <c r="AA66" i="1" s="1"/>
  <c r="U67" i="1"/>
  <c r="AA67" i="1" s="1"/>
  <c r="U68" i="1"/>
  <c r="AA68" i="1" s="1"/>
  <c r="U69" i="1"/>
  <c r="AA69" i="1" s="1"/>
  <c r="U70" i="1"/>
  <c r="AA70" i="1" s="1"/>
  <c r="U71" i="1"/>
  <c r="AA71" i="1" s="1"/>
  <c r="U72" i="1"/>
  <c r="AA72" i="1" s="1"/>
  <c r="U73" i="1"/>
  <c r="AA73" i="1" s="1"/>
  <c r="U74" i="1"/>
  <c r="AA74" i="1" s="1"/>
  <c r="U75" i="1"/>
  <c r="AA75" i="1" s="1"/>
  <c r="U76" i="1"/>
  <c r="AA76" i="1" s="1"/>
  <c r="U77" i="1"/>
  <c r="AA77" i="1" s="1"/>
  <c r="U78" i="1"/>
  <c r="AA78" i="1" s="1"/>
  <c r="U79" i="1"/>
  <c r="AA79" i="1" s="1"/>
  <c r="U80" i="1"/>
  <c r="AA80" i="1" s="1"/>
  <c r="U81" i="1"/>
  <c r="AA81" i="1" s="1"/>
  <c r="U82" i="1"/>
  <c r="AA82" i="1" s="1"/>
  <c r="U83" i="1"/>
  <c r="AA83" i="1" s="1"/>
  <c r="U84" i="1"/>
  <c r="AA84" i="1" s="1"/>
  <c r="U85" i="1"/>
  <c r="AA85" i="1" s="1"/>
  <c r="U86" i="1"/>
  <c r="AA86" i="1" s="1"/>
  <c r="U87" i="1"/>
  <c r="AA87" i="1" s="1"/>
  <c r="U88" i="1"/>
  <c r="AA88" i="1" s="1"/>
  <c r="U89" i="1"/>
  <c r="AA89" i="1" s="1"/>
  <c r="U90" i="1"/>
  <c r="AA90" i="1" s="1"/>
  <c r="U91" i="1"/>
  <c r="AA91" i="1" s="1"/>
  <c r="U92" i="1"/>
  <c r="AA92" i="1" s="1"/>
  <c r="U93" i="1"/>
  <c r="AA93" i="1" s="1"/>
  <c r="U96" i="1"/>
  <c r="AA96" i="1" s="1"/>
  <c r="U97" i="1"/>
  <c r="AA97" i="1" s="1"/>
  <c r="U98" i="1"/>
  <c r="AA98" i="1" s="1"/>
  <c r="U99" i="1"/>
  <c r="AA99" i="1" s="1"/>
  <c r="U3" i="1"/>
  <c r="AA3" i="1" s="1"/>
  <c r="T4" i="1"/>
  <c r="Z4" i="1" s="1"/>
  <c r="T5" i="1"/>
  <c r="Z5" i="1" s="1"/>
  <c r="T6" i="1"/>
  <c r="Z6" i="1" s="1"/>
  <c r="T7" i="1"/>
  <c r="Z7" i="1" s="1"/>
  <c r="T8" i="1"/>
  <c r="Z8" i="1" s="1"/>
  <c r="T9" i="1"/>
  <c r="Z9" i="1" s="1"/>
  <c r="T10" i="1"/>
  <c r="Z10" i="1" s="1"/>
  <c r="T12" i="1"/>
  <c r="Z12" i="1" s="1"/>
  <c r="T13" i="1"/>
  <c r="Z13" i="1" s="1"/>
  <c r="T14" i="1"/>
  <c r="Z14" i="1" s="1"/>
  <c r="T15" i="1"/>
  <c r="Z15" i="1" s="1"/>
  <c r="T16" i="1"/>
  <c r="Z16" i="1" s="1"/>
  <c r="T17" i="1"/>
  <c r="Z17" i="1" s="1"/>
  <c r="T18" i="1"/>
  <c r="Z18" i="1" s="1"/>
  <c r="T19" i="1"/>
  <c r="Z19" i="1" s="1"/>
  <c r="T20" i="1"/>
  <c r="Z20" i="1" s="1"/>
  <c r="T21" i="1"/>
  <c r="Z21" i="1" s="1"/>
  <c r="T22" i="1"/>
  <c r="Z22" i="1" s="1"/>
  <c r="T23" i="1"/>
  <c r="Z23" i="1" s="1"/>
  <c r="T24" i="1"/>
  <c r="Z24" i="1" s="1"/>
  <c r="T25" i="1"/>
  <c r="Z25" i="1" s="1"/>
  <c r="T26" i="1"/>
  <c r="Z26" i="1" s="1"/>
  <c r="T27" i="1"/>
  <c r="Z27" i="1" s="1"/>
  <c r="T28" i="1"/>
  <c r="Z28" i="1" s="1"/>
  <c r="T29" i="1"/>
  <c r="Z29" i="1" s="1"/>
  <c r="T30" i="1"/>
  <c r="Z30" i="1" s="1"/>
  <c r="T31" i="1"/>
  <c r="Z31" i="1" s="1"/>
  <c r="T32" i="1"/>
  <c r="Z32" i="1" s="1"/>
  <c r="T33" i="1"/>
  <c r="Z33" i="1" s="1"/>
  <c r="T34" i="1"/>
  <c r="Z34" i="1" s="1"/>
  <c r="T35" i="1"/>
  <c r="Z35" i="1" s="1"/>
  <c r="T37" i="1"/>
  <c r="Z37" i="1" s="1"/>
  <c r="T38" i="1"/>
  <c r="Z38" i="1" s="1"/>
  <c r="T39" i="1"/>
  <c r="Z39" i="1" s="1"/>
  <c r="T40" i="1"/>
  <c r="Z40" i="1" s="1"/>
  <c r="T41" i="1"/>
  <c r="Z41" i="1" s="1"/>
  <c r="T42" i="1"/>
  <c r="Z42" i="1" s="1"/>
  <c r="T43" i="1"/>
  <c r="Z43" i="1" s="1"/>
  <c r="T44" i="1"/>
  <c r="Z44" i="1" s="1"/>
  <c r="T45" i="1"/>
  <c r="Z45" i="1" s="1"/>
  <c r="T46" i="1"/>
  <c r="Z46" i="1" s="1"/>
  <c r="T47" i="1"/>
  <c r="Z47" i="1" s="1"/>
  <c r="T48" i="1"/>
  <c r="Z48" i="1" s="1"/>
  <c r="T49" i="1"/>
  <c r="Z49" i="1" s="1"/>
  <c r="T50" i="1"/>
  <c r="Z50" i="1" s="1"/>
  <c r="T51" i="1"/>
  <c r="Z51" i="1" s="1"/>
  <c r="T52" i="1"/>
  <c r="Z52" i="1" s="1"/>
  <c r="T53" i="1"/>
  <c r="Z53" i="1" s="1"/>
  <c r="T54" i="1"/>
  <c r="Z54" i="1" s="1"/>
  <c r="T55" i="1"/>
  <c r="Z55" i="1" s="1"/>
  <c r="T57" i="1"/>
  <c r="Z57" i="1" s="1"/>
  <c r="T58" i="1"/>
  <c r="Z58" i="1" s="1"/>
  <c r="T59" i="1"/>
  <c r="Z59" i="1" s="1"/>
  <c r="T60" i="1"/>
  <c r="Z60" i="1" s="1"/>
  <c r="T62" i="1"/>
  <c r="Z62" i="1" s="1"/>
  <c r="T63" i="1"/>
  <c r="Z63" i="1" s="1"/>
  <c r="T64" i="1"/>
  <c r="Z64" i="1" s="1"/>
  <c r="T65" i="1"/>
  <c r="Z65" i="1" s="1"/>
  <c r="T66" i="1"/>
  <c r="Z66" i="1" s="1"/>
  <c r="T67" i="1"/>
  <c r="Z67" i="1" s="1"/>
  <c r="T68" i="1"/>
  <c r="Z68" i="1" s="1"/>
  <c r="T69" i="1"/>
  <c r="Z69" i="1" s="1"/>
  <c r="T70" i="1"/>
  <c r="Z70" i="1" s="1"/>
  <c r="T71" i="1"/>
  <c r="Z71" i="1" s="1"/>
  <c r="T72" i="1"/>
  <c r="Z72" i="1" s="1"/>
  <c r="T73" i="1"/>
  <c r="Z73" i="1" s="1"/>
  <c r="T74" i="1"/>
  <c r="Z74" i="1" s="1"/>
  <c r="T75" i="1"/>
  <c r="Z75" i="1" s="1"/>
  <c r="T76" i="1"/>
  <c r="Z76" i="1" s="1"/>
  <c r="T77" i="1"/>
  <c r="Z77" i="1" s="1"/>
  <c r="T78" i="1"/>
  <c r="Z78" i="1" s="1"/>
  <c r="T79" i="1"/>
  <c r="Z79" i="1" s="1"/>
  <c r="T80" i="1"/>
  <c r="Z80" i="1" s="1"/>
  <c r="T81" i="1"/>
  <c r="Z81" i="1" s="1"/>
  <c r="T82" i="1"/>
  <c r="Z82" i="1" s="1"/>
  <c r="T83" i="1"/>
  <c r="Z83" i="1" s="1"/>
  <c r="T84" i="1"/>
  <c r="Z84" i="1" s="1"/>
  <c r="T85" i="1"/>
  <c r="Z85" i="1" s="1"/>
  <c r="T86" i="1"/>
  <c r="Z86" i="1" s="1"/>
  <c r="T87" i="1"/>
  <c r="Z87" i="1" s="1"/>
  <c r="T88" i="1"/>
  <c r="Z88" i="1" s="1"/>
  <c r="T89" i="1"/>
  <c r="Z89" i="1" s="1"/>
  <c r="T90" i="1"/>
  <c r="Z90" i="1" s="1"/>
  <c r="T91" i="1"/>
  <c r="Z91" i="1" s="1"/>
  <c r="T92" i="1"/>
  <c r="Z92" i="1" s="1"/>
  <c r="T93" i="1"/>
  <c r="Z93" i="1" s="1"/>
  <c r="T96" i="1"/>
  <c r="Z96" i="1" s="1"/>
  <c r="T97" i="1"/>
  <c r="Z97" i="1" s="1"/>
  <c r="T98" i="1"/>
  <c r="Z98" i="1" s="1"/>
  <c r="T99" i="1"/>
  <c r="Z99" i="1" s="1"/>
  <c r="T3" i="1"/>
  <c r="Z3" i="1" s="1"/>
  <c r="S4" i="1"/>
  <c r="Y4" i="1" s="1"/>
  <c r="S5" i="1"/>
  <c r="Y5" i="1" s="1"/>
  <c r="S6" i="1"/>
  <c r="Y6" i="1" s="1"/>
  <c r="S7" i="1"/>
  <c r="Y7" i="1" s="1"/>
  <c r="S8" i="1"/>
  <c r="Y8" i="1" s="1"/>
  <c r="S9" i="1"/>
  <c r="Y9" i="1" s="1"/>
  <c r="S10" i="1"/>
  <c r="Y10" i="1" s="1"/>
  <c r="S12" i="1"/>
  <c r="Y12" i="1" s="1"/>
  <c r="S13" i="1"/>
  <c r="Y13" i="1" s="1"/>
  <c r="S14" i="1"/>
  <c r="Y14" i="1" s="1"/>
  <c r="S15" i="1"/>
  <c r="Y15" i="1" s="1"/>
  <c r="S16" i="1"/>
  <c r="Y16" i="1" s="1"/>
  <c r="S17" i="1"/>
  <c r="Y17" i="1" s="1"/>
  <c r="S18" i="1"/>
  <c r="Y18" i="1" s="1"/>
  <c r="S19" i="1"/>
  <c r="Y19" i="1" s="1"/>
  <c r="S20" i="1"/>
  <c r="Y20" i="1" s="1"/>
  <c r="S21" i="1"/>
  <c r="Y21" i="1" s="1"/>
  <c r="S22" i="1"/>
  <c r="Y22" i="1" s="1"/>
  <c r="S23" i="1"/>
  <c r="Y23" i="1" s="1"/>
  <c r="S24" i="1"/>
  <c r="Y24" i="1" s="1"/>
  <c r="S25" i="1"/>
  <c r="Y25" i="1" s="1"/>
  <c r="S26" i="1"/>
  <c r="Y26" i="1" s="1"/>
  <c r="S27" i="1"/>
  <c r="Y27" i="1" s="1"/>
  <c r="S28" i="1"/>
  <c r="Y28" i="1" s="1"/>
  <c r="S29" i="1"/>
  <c r="Y29" i="1" s="1"/>
  <c r="S30" i="1"/>
  <c r="Y30" i="1" s="1"/>
  <c r="S31" i="1"/>
  <c r="Y31" i="1" s="1"/>
  <c r="S32" i="1"/>
  <c r="Y32" i="1" s="1"/>
  <c r="S33" i="1"/>
  <c r="Y33" i="1" s="1"/>
  <c r="S34" i="1"/>
  <c r="Y34" i="1" s="1"/>
  <c r="S35" i="1"/>
  <c r="Y35" i="1" s="1"/>
  <c r="S37" i="1"/>
  <c r="Y37" i="1" s="1"/>
  <c r="S38" i="1"/>
  <c r="Y38" i="1" s="1"/>
  <c r="S39" i="1"/>
  <c r="Y39" i="1" s="1"/>
  <c r="S40" i="1"/>
  <c r="Y40" i="1" s="1"/>
  <c r="S41" i="1"/>
  <c r="Y41" i="1" s="1"/>
  <c r="S42" i="1"/>
  <c r="Y42" i="1" s="1"/>
  <c r="S43" i="1"/>
  <c r="Y43" i="1" s="1"/>
  <c r="S44" i="1"/>
  <c r="Y44" i="1" s="1"/>
  <c r="S45" i="1"/>
  <c r="Y45" i="1" s="1"/>
  <c r="S46" i="1"/>
  <c r="Y46" i="1" s="1"/>
  <c r="S47" i="1"/>
  <c r="Y47" i="1" s="1"/>
  <c r="S48" i="1"/>
  <c r="Y48" i="1" s="1"/>
  <c r="S49" i="1"/>
  <c r="Y49" i="1" s="1"/>
  <c r="S50" i="1"/>
  <c r="Y50" i="1" s="1"/>
  <c r="S51" i="1"/>
  <c r="Y51" i="1" s="1"/>
  <c r="S52" i="1"/>
  <c r="Y52" i="1" s="1"/>
  <c r="S53" i="1"/>
  <c r="S54" i="1"/>
  <c r="Y54" i="1" s="1"/>
  <c r="S55" i="1"/>
  <c r="Y55" i="1" s="1"/>
  <c r="S57" i="1"/>
  <c r="Y57" i="1" s="1"/>
  <c r="S58" i="1"/>
  <c r="Y58" i="1" s="1"/>
  <c r="S59" i="1"/>
  <c r="Y59" i="1" s="1"/>
  <c r="S60" i="1"/>
  <c r="Y60" i="1" s="1"/>
  <c r="S62" i="1"/>
  <c r="Y62" i="1" s="1"/>
  <c r="S63" i="1"/>
  <c r="Y63" i="1" s="1"/>
  <c r="S64" i="1"/>
  <c r="Y64" i="1" s="1"/>
  <c r="S65" i="1"/>
  <c r="Y65" i="1" s="1"/>
  <c r="S66" i="1"/>
  <c r="Y66" i="1" s="1"/>
  <c r="S67" i="1"/>
  <c r="Y67" i="1" s="1"/>
  <c r="S68" i="1"/>
  <c r="Y68" i="1" s="1"/>
  <c r="S69" i="1"/>
  <c r="Y69" i="1" s="1"/>
  <c r="S70" i="1"/>
  <c r="Y70" i="1" s="1"/>
  <c r="S71" i="1"/>
  <c r="Y71" i="1" s="1"/>
  <c r="S72" i="1"/>
  <c r="Y72" i="1" s="1"/>
  <c r="S73" i="1"/>
  <c r="Y73" i="1" s="1"/>
  <c r="S74" i="1"/>
  <c r="Y74" i="1" s="1"/>
  <c r="S75" i="1"/>
  <c r="Y75" i="1" s="1"/>
  <c r="S76" i="1"/>
  <c r="Y76" i="1" s="1"/>
  <c r="S77" i="1"/>
  <c r="Y77" i="1" s="1"/>
  <c r="S78" i="1"/>
  <c r="Y78" i="1" s="1"/>
  <c r="S79" i="1"/>
  <c r="Y79" i="1" s="1"/>
  <c r="S80" i="1"/>
  <c r="Y80" i="1" s="1"/>
  <c r="S81" i="1"/>
  <c r="Y81" i="1" s="1"/>
  <c r="S82" i="1"/>
  <c r="Y82" i="1" s="1"/>
  <c r="S83" i="1"/>
  <c r="Y83" i="1" s="1"/>
  <c r="S84" i="1"/>
  <c r="Y84" i="1" s="1"/>
  <c r="S85" i="1"/>
  <c r="Y85" i="1" s="1"/>
  <c r="S86" i="1"/>
  <c r="Y86" i="1" s="1"/>
  <c r="S87" i="1"/>
  <c r="Y87" i="1" s="1"/>
  <c r="S88" i="1"/>
  <c r="Y88" i="1" s="1"/>
  <c r="S89" i="1"/>
  <c r="Y89" i="1" s="1"/>
  <c r="S90" i="1"/>
  <c r="Y90" i="1" s="1"/>
  <c r="S91" i="1"/>
  <c r="Y91" i="1" s="1"/>
  <c r="S92" i="1"/>
  <c r="Y92" i="1" s="1"/>
  <c r="S93" i="1"/>
  <c r="Y93" i="1" s="1"/>
  <c r="S96" i="1"/>
  <c r="Y96" i="1" s="1"/>
  <c r="S97" i="1"/>
  <c r="Y97" i="1" s="1"/>
  <c r="S98" i="1"/>
  <c r="Y98" i="1" s="1"/>
  <c r="S99" i="1"/>
  <c r="Y99" i="1" s="1"/>
  <c r="S3" i="1"/>
  <c r="Y3" i="1" s="1"/>
  <c r="R4" i="1"/>
  <c r="X4" i="1" s="1"/>
  <c r="R5" i="1"/>
  <c r="X5" i="1" s="1"/>
  <c r="R6" i="1"/>
  <c r="X6" i="1" s="1"/>
  <c r="R7" i="1"/>
  <c r="X7" i="1" s="1"/>
  <c r="R8" i="1"/>
  <c r="X8" i="1" s="1"/>
  <c r="R9" i="1"/>
  <c r="X9" i="1" s="1"/>
  <c r="R10" i="1"/>
  <c r="X10" i="1" s="1"/>
  <c r="R12" i="1"/>
  <c r="X12" i="1" s="1"/>
  <c r="R13" i="1"/>
  <c r="X13" i="1" s="1"/>
  <c r="R14" i="1"/>
  <c r="X14" i="1" s="1"/>
  <c r="R15" i="1"/>
  <c r="X15" i="1" s="1"/>
  <c r="R16" i="1"/>
  <c r="X16" i="1" s="1"/>
  <c r="R17" i="1"/>
  <c r="X17" i="1" s="1"/>
  <c r="R18" i="1"/>
  <c r="X18" i="1" s="1"/>
  <c r="R19" i="1"/>
  <c r="X19" i="1" s="1"/>
  <c r="R20" i="1"/>
  <c r="X20" i="1" s="1"/>
  <c r="R21" i="1"/>
  <c r="X21" i="1" s="1"/>
  <c r="R22" i="1"/>
  <c r="X22" i="1" s="1"/>
  <c r="R23" i="1"/>
  <c r="X23" i="1" s="1"/>
  <c r="R24" i="1"/>
  <c r="X24" i="1" s="1"/>
  <c r="R25" i="1"/>
  <c r="X25" i="1" s="1"/>
  <c r="R26" i="1"/>
  <c r="X26" i="1" s="1"/>
  <c r="R27" i="1"/>
  <c r="X27" i="1" s="1"/>
  <c r="R28" i="1"/>
  <c r="X28" i="1" s="1"/>
  <c r="R29" i="1"/>
  <c r="X29" i="1" s="1"/>
  <c r="R30" i="1"/>
  <c r="X30" i="1" s="1"/>
  <c r="R31" i="1"/>
  <c r="X31" i="1" s="1"/>
  <c r="R32" i="1"/>
  <c r="X32" i="1" s="1"/>
  <c r="R33" i="1"/>
  <c r="X33" i="1" s="1"/>
  <c r="R34" i="1"/>
  <c r="X34" i="1" s="1"/>
  <c r="R35" i="1"/>
  <c r="X35" i="1" s="1"/>
  <c r="R37" i="1"/>
  <c r="X37" i="1" s="1"/>
  <c r="R38" i="1"/>
  <c r="X38" i="1" s="1"/>
  <c r="R39" i="1"/>
  <c r="X39" i="1" s="1"/>
  <c r="R40" i="1"/>
  <c r="X40" i="1" s="1"/>
  <c r="R41" i="1"/>
  <c r="X41" i="1" s="1"/>
  <c r="R42" i="1"/>
  <c r="X42" i="1" s="1"/>
  <c r="R43" i="1"/>
  <c r="X43" i="1" s="1"/>
  <c r="R44" i="1"/>
  <c r="X44" i="1" s="1"/>
  <c r="R45" i="1"/>
  <c r="X45" i="1" s="1"/>
  <c r="R46" i="1"/>
  <c r="X46" i="1" s="1"/>
  <c r="R47" i="1"/>
  <c r="X47" i="1" s="1"/>
  <c r="R48" i="1"/>
  <c r="X48" i="1" s="1"/>
  <c r="R49" i="1"/>
  <c r="X49" i="1" s="1"/>
  <c r="R50" i="1"/>
  <c r="X50" i="1" s="1"/>
  <c r="R51" i="1"/>
  <c r="X51" i="1" s="1"/>
  <c r="R52" i="1"/>
  <c r="X52" i="1" s="1"/>
  <c r="R53" i="1"/>
  <c r="X53" i="1" s="1"/>
  <c r="R54" i="1"/>
  <c r="X54" i="1" s="1"/>
  <c r="R55" i="1"/>
  <c r="X55" i="1" s="1"/>
  <c r="R57" i="1"/>
  <c r="X57" i="1" s="1"/>
  <c r="R58" i="1"/>
  <c r="X58" i="1" s="1"/>
  <c r="R59" i="1"/>
  <c r="X59" i="1" s="1"/>
  <c r="R60" i="1"/>
  <c r="X60" i="1" s="1"/>
  <c r="R62" i="1"/>
  <c r="X62" i="1" s="1"/>
  <c r="R63" i="1"/>
  <c r="X63" i="1" s="1"/>
  <c r="R64" i="1"/>
  <c r="X64" i="1" s="1"/>
  <c r="R65" i="1"/>
  <c r="X65" i="1" s="1"/>
  <c r="R66" i="1"/>
  <c r="X66" i="1" s="1"/>
  <c r="R67" i="1"/>
  <c r="X67" i="1" s="1"/>
  <c r="R68" i="1"/>
  <c r="X68" i="1" s="1"/>
  <c r="R69" i="1"/>
  <c r="X69" i="1" s="1"/>
  <c r="R70" i="1"/>
  <c r="X70" i="1" s="1"/>
  <c r="R71" i="1"/>
  <c r="X71" i="1" s="1"/>
  <c r="R72" i="1"/>
  <c r="X72" i="1" s="1"/>
  <c r="R73" i="1"/>
  <c r="X73" i="1" s="1"/>
  <c r="R74" i="1"/>
  <c r="X74" i="1" s="1"/>
  <c r="R75" i="1"/>
  <c r="X75" i="1" s="1"/>
  <c r="R76" i="1"/>
  <c r="X76" i="1" s="1"/>
  <c r="R77" i="1"/>
  <c r="X77" i="1" s="1"/>
  <c r="R78" i="1"/>
  <c r="X78" i="1" s="1"/>
  <c r="R79" i="1"/>
  <c r="X79" i="1" s="1"/>
  <c r="R80" i="1"/>
  <c r="X80" i="1" s="1"/>
  <c r="R81" i="1"/>
  <c r="X81" i="1" s="1"/>
  <c r="R82" i="1"/>
  <c r="X82" i="1" s="1"/>
  <c r="R83" i="1"/>
  <c r="X83" i="1" s="1"/>
  <c r="R84" i="1"/>
  <c r="X84" i="1" s="1"/>
  <c r="R85" i="1"/>
  <c r="X85" i="1" s="1"/>
  <c r="R86" i="1"/>
  <c r="X86" i="1" s="1"/>
  <c r="R87" i="1"/>
  <c r="X87" i="1" s="1"/>
  <c r="R88" i="1"/>
  <c r="X88" i="1" s="1"/>
  <c r="R89" i="1"/>
  <c r="X89" i="1" s="1"/>
  <c r="R90" i="1"/>
  <c r="X90" i="1" s="1"/>
  <c r="R91" i="1"/>
  <c r="X91" i="1" s="1"/>
  <c r="R92" i="1"/>
  <c r="X92" i="1" s="1"/>
  <c r="R93" i="1"/>
  <c r="X93" i="1" s="1"/>
  <c r="R96" i="1"/>
  <c r="X96" i="1" s="1"/>
  <c r="R97" i="1"/>
  <c r="X97" i="1" s="1"/>
  <c r="R98" i="1"/>
  <c r="X98" i="1" s="1"/>
  <c r="R99" i="1"/>
  <c r="X99" i="1" s="1"/>
  <c r="Q4" i="1"/>
  <c r="W4" i="1" s="1"/>
  <c r="Q5" i="1"/>
  <c r="W5" i="1" s="1"/>
  <c r="Q6" i="1"/>
  <c r="W6" i="1" s="1"/>
  <c r="Q7" i="1"/>
  <c r="W7" i="1" s="1"/>
  <c r="Q8" i="1"/>
  <c r="W8" i="1" s="1"/>
  <c r="Q9" i="1"/>
  <c r="W9" i="1" s="1"/>
  <c r="Q10" i="1"/>
  <c r="W10" i="1" s="1"/>
  <c r="Q12" i="1"/>
  <c r="W12" i="1" s="1"/>
  <c r="Q13" i="1"/>
  <c r="W13" i="1" s="1"/>
  <c r="Q14" i="1"/>
  <c r="W14" i="1" s="1"/>
  <c r="Q15" i="1"/>
  <c r="W15" i="1" s="1"/>
  <c r="Q16" i="1"/>
  <c r="W16" i="1" s="1"/>
  <c r="Q17" i="1"/>
  <c r="W17" i="1" s="1"/>
  <c r="Q18" i="1"/>
  <c r="W18" i="1" s="1"/>
  <c r="Q19" i="1"/>
  <c r="W19" i="1" s="1"/>
  <c r="Q20" i="1"/>
  <c r="W20" i="1" s="1"/>
  <c r="Q21" i="1"/>
  <c r="W21" i="1" s="1"/>
  <c r="Q22" i="1"/>
  <c r="W22" i="1" s="1"/>
  <c r="Q23" i="1"/>
  <c r="W23" i="1" s="1"/>
  <c r="Q24" i="1"/>
  <c r="W24" i="1" s="1"/>
  <c r="Q25" i="1"/>
  <c r="W25" i="1" s="1"/>
  <c r="Q26" i="1"/>
  <c r="W26" i="1" s="1"/>
  <c r="Q27" i="1"/>
  <c r="W27" i="1" s="1"/>
  <c r="Q28" i="1"/>
  <c r="W28" i="1" s="1"/>
  <c r="Q29" i="1"/>
  <c r="W29" i="1" s="1"/>
  <c r="Q30" i="1"/>
  <c r="W30" i="1" s="1"/>
  <c r="Q31" i="1"/>
  <c r="W31" i="1" s="1"/>
  <c r="Q32" i="1"/>
  <c r="W32" i="1" s="1"/>
  <c r="Q33" i="1"/>
  <c r="W33" i="1" s="1"/>
  <c r="Q34" i="1"/>
  <c r="W34" i="1" s="1"/>
  <c r="Q35" i="1"/>
  <c r="W35" i="1" s="1"/>
  <c r="Q37" i="1"/>
  <c r="W37" i="1" s="1"/>
  <c r="Q38" i="1"/>
  <c r="W38" i="1" s="1"/>
  <c r="Q39" i="1"/>
  <c r="W39" i="1" s="1"/>
  <c r="Q40" i="1"/>
  <c r="W40" i="1" s="1"/>
  <c r="Q41" i="1"/>
  <c r="W41" i="1" s="1"/>
  <c r="Q42" i="1"/>
  <c r="W42" i="1" s="1"/>
  <c r="Q43" i="1"/>
  <c r="W43" i="1" s="1"/>
  <c r="Q44" i="1"/>
  <c r="W44" i="1" s="1"/>
  <c r="Q45" i="1"/>
  <c r="W45" i="1" s="1"/>
  <c r="Q46" i="1"/>
  <c r="W46" i="1" s="1"/>
  <c r="Q47" i="1"/>
  <c r="W47" i="1" s="1"/>
  <c r="Q48" i="1"/>
  <c r="W48" i="1" s="1"/>
  <c r="Q49" i="1"/>
  <c r="W49" i="1" s="1"/>
  <c r="Q50" i="1"/>
  <c r="W50" i="1" s="1"/>
  <c r="Q51" i="1"/>
  <c r="W51" i="1" s="1"/>
  <c r="Q52" i="1"/>
  <c r="W52" i="1" s="1"/>
  <c r="Q53" i="1"/>
  <c r="W53" i="1" s="1"/>
  <c r="Q54" i="1"/>
  <c r="W54" i="1" s="1"/>
  <c r="Q55" i="1"/>
  <c r="W55" i="1" s="1"/>
  <c r="Q57" i="1"/>
  <c r="W57" i="1" s="1"/>
  <c r="Q58" i="1"/>
  <c r="W58" i="1" s="1"/>
  <c r="Q59" i="1"/>
  <c r="W59" i="1" s="1"/>
  <c r="Q60" i="1"/>
  <c r="W60" i="1" s="1"/>
  <c r="Q62" i="1"/>
  <c r="W62" i="1" s="1"/>
  <c r="Q63" i="1"/>
  <c r="W63" i="1" s="1"/>
  <c r="Q64" i="1"/>
  <c r="W64" i="1" s="1"/>
  <c r="Q65" i="1"/>
  <c r="W65" i="1" s="1"/>
  <c r="Q66" i="1"/>
  <c r="W66" i="1" s="1"/>
  <c r="Q67" i="1"/>
  <c r="W67" i="1" s="1"/>
  <c r="Q68" i="1"/>
  <c r="W68" i="1" s="1"/>
  <c r="Q69" i="1"/>
  <c r="W69" i="1" s="1"/>
  <c r="Q70" i="1"/>
  <c r="W70" i="1" s="1"/>
  <c r="Q71" i="1"/>
  <c r="W71" i="1" s="1"/>
  <c r="Q72" i="1"/>
  <c r="W72" i="1" s="1"/>
  <c r="Q73" i="1"/>
  <c r="W73" i="1" s="1"/>
  <c r="Q74" i="1"/>
  <c r="W74" i="1" s="1"/>
  <c r="Q75" i="1"/>
  <c r="W75" i="1" s="1"/>
  <c r="Q76" i="1"/>
  <c r="W76" i="1" s="1"/>
  <c r="Q77" i="1"/>
  <c r="W77" i="1" s="1"/>
  <c r="Q78" i="1"/>
  <c r="W78" i="1" s="1"/>
  <c r="Q79" i="1"/>
  <c r="W79" i="1" s="1"/>
  <c r="Q80" i="1"/>
  <c r="W80" i="1" s="1"/>
  <c r="Q81" i="1"/>
  <c r="W81" i="1" s="1"/>
  <c r="Q82" i="1"/>
  <c r="W82" i="1" s="1"/>
  <c r="Q83" i="1"/>
  <c r="W83" i="1" s="1"/>
  <c r="Q84" i="1"/>
  <c r="W84" i="1" s="1"/>
  <c r="Q85" i="1"/>
  <c r="W85" i="1" s="1"/>
  <c r="Q86" i="1"/>
  <c r="W86" i="1" s="1"/>
  <c r="Q87" i="1"/>
  <c r="W87" i="1" s="1"/>
  <c r="Q88" i="1"/>
  <c r="W88" i="1" s="1"/>
  <c r="Q89" i="1"/>
  <c r="W89" i="1" s="1"/>
  <c r="Q90" i="1"/>
  <c r="W90" i="1" s="1"/>
  <c r="Q91" i="1"/>
  <c r="W91" i="1" s="1"/>
  <c r="Q92" i="1"/>
  <c r="W92" i="1" s="1"/>
  <c r="Q93" i="1"/>
  <c r="W93" i="1" s="1"/>
  <c r="Q96" i="1"/>
  <c r="W96" i="1" s="1"/>
  <c r="Q97" i="1"/>
  <c r="W97" i="1" s="1"/>
  <c r="Q98" i="1"/>
  <c r="W98" i="1" s="1"/>
  <c r="Q99" i="1"/>
  <c r="W99" i="1" s="1"/>
  <c r="Q3" i="1"/>
  <c r="W3" i="1" s="1"/>
  <c r="J4" i="1"/>
  <c r="J5" i="1"/>
  <c r="J6" i="1"/>
  <c r="J7" i="1"/>
  <c r="J8" i="1"/>
  <c r="J9" i="1"/>
  <c r="J10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7" i="1"/>
  <c r="J58" i="1"/>
  <c r="J59" i="1"/>
  <c r="J60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6" i="1"/>
  <c r="J97" i="1"/>
  <c r="J98" i="1"/>
  <c r="J99" i="1"/>
  <c r="J3" i="1"/>
</calcChain>
</file>

<file path=xl/sharedStrings.xml><?xml version="1.0" encoding="utf-8"?>
<sst xmlns="http://schemas.openxmlformats.org/spreadsheetml/2006/main" count="483" uniqueCount="164">
  <si>
    <t>Allariz</t>
  </si>
  <si>
    <t>Orense</t>
  </si>
  <si>
    <t>Amoeiro</t>
  </si>
  <si>
    <t>Arnoya</t>
  </si>
  <si>
    <t>Ribadavia</t>
  </si>
  <si>
    <t>Avion</t>
  </si>
  <si>
    <t>Baltar</t>
  </si>
  <si>
    <t>Ginzo de Limia</t>
  </si>
  <si>
    <t>Bande</t>
  </si>
  <si>
    <t>Banhos de Molgas</t>
  </si>
  <si>
    <t>Barbadanes</t>
  </si>
  <si>
    <t>Barco</t>
  </si>
  <si>
    <t>Valdeorras</t>
  </si>
  <si>
    <t>Beade</t>
  </si>
  <si>
    <t>Beariz</t>
  </si>
  <si>
    <t>Carballinho</t>
  </si>
  <si>
    <t>Blancos</t>
  </si>
  <si>
    <t>Boboras</t>
  </si>
  <si>
    <t>Bola</t>
  </si>
  <si>
    <t>Celanova</t>
  </si>
  <si>
    <t>Bollo</t>
  </si>
  <si>
    <t>Viana del Bollo</t>
  </si>
  <si>
    <t>Calvos de Randin</t>
  </si>
  <si>
    <t>Canedo</t>
  </si>
  <si>
    <t>Carballeda</t>
  </si>
  <si>
    <t>Carballeda de Avia</t>
  </si>
  <si>
    <t>Cartelle</t>
  </si>
  <si>
    <t>Castrelo de Minho</t>
  </si>
  <si>
    <t>Castrelo del Valle</t>
  </si>
  <si>
    <t>Verin</t>
  </si>
  <si>
    <t>Castro-Caldelas</t>
  </si>
  <si>
    <t>Puebla de Trives</t>
  </si>
  <si>
    <t>Cea</t>
  </si>
  <si>
    <t>Cenlle</t>
  </si>
  <si>
    <t>Chandreja de Queija</t>
  </si>
  <si>
    <t>Coles</t>
  </si>
  <si>
    <t>Cortegada</t>
  </si>
  <si>
    <t>Cualedro</t>
  </si>
  <si>
    <t>Entrimo</t>
  </si>
  <si>
    <t>Esgos</t>
  </si>
  <si>
    <t>Freas de Eiras</t>
  </si>
  <si>
    <t>Gomesende</t>
  </si>
  <si>
    <t>Gudinha</t>
  </si>
  <si>
    <t>Irijo</t>
  </si>
  <si>
    <t>Junquera de Ambia</t>
  </si>
  <si>
    <t>Junquera de Espadanhedo</t>
  </si>
  <si>
    <t>Laroco</t>
  </si>
  <si>
    <t>Laza</t>
  </si>
  <si>
    <t>Leiro</t>
  </si>
  <si>
    <t>Lobera</t>
  </si>
  <si>
    <t>Lovios</t>
  </si>
  <si>
    <t>Maceda</t>
  </si>
  <si>
    <t>Manzaneda</t>
  </si>
  <si>
    <t>Maside</t>
  </si>
  <si>
    <t>Melon</t>
  </si>
  <si>
    <t>Merca</t>
  </si>
  <si>
    <t>Mezquita</t>
  </si>
  <si>
    <t>Montederramo</t>
  </si>
  <si>
    <t>Monterrey</t>
  </si>
  <si>
    <t>Moreiras</t>
  </si>
  <si>
    <t>Muinhos</t>
  </si>
  <si>
    <t>Nogueira de Ramuin</t>
  </si>
  <si>
    <t>Oimbra</t>
  </si>
  <si>
    <t>Paderne</t>
  </si>
  <si>
    <t>Padrenda</t>
  </si>
  <si>
    <t>Parada del Sil</t>
  </si>
  <si>
    <t>Pereiro de Aguiar</t>
  </si>
  <si>
    <t>Peroja</t>
  </si>
  <si>
    <t>Petin</t>
  </si>
  <si>
    <t>Pinhor</t>
  </si>
  <si>
    <t>Porquera</t>
  </si>
  <si>
    <t>Puentedeva</t>
  </si>
  <si>
    <t>Pungin</t>
  </si>
  <si>
    <t>Quintela de Leirado</t>
  </si>
  <si>
    <t>Rairiz de Veiga</t>
  </si>
  <si>
    <t>Ramiranes</t>
  </si>
  <si>
    <t>Rio</t>
  </si>
  <si>
    <t>Rios</t>
  </si>
  <si>
    <t>Rua</t>
  </si>
  <si>
    <t>Rubiana</t>
  </si>
  <si>
    <t>San Amaro</t>
  </si>
  <si>
    <t>San Ciprian de Vinhas</t>
  </si>
  <si>
    <t>Sandianes</t>
  </si>
  <si>
    <t>Sarreaus</t>
  </si>
  <si>
    <t>Taboadela</t>
  </si>
  <si>
    <t>Teijeira</t>
  </si>
  <si>
    <t>Toen</t>
  </si>
  <si>
    <t>Trasmiras</t>
  </si>
  <si>
    <t>Vega</t>
  </si>
  <si>
    <t>Verea</t>
  </si>
  <si>
    <t>Viana</t>
  </si>
  <si>
    <t>Villamarin</t>
  </si>
  <si>
    <t>Villamartin</t>
  </si>
  <si>
    <t>Villamea de Ramiranes</t>
  </si>
  <si>
    <t>Villanueva de los Infantes</t>
  </si>
  <si>
    <t>Villar de Barrio</t>
  </si>
  <si>
    <t>Villar de Santos</t>
  </si>
  <si>
    <t>Villardebos</t>
  </si>
  <si>
    <t>Villarino de Conso</t>
  </si>
  <si>
    <t>v.order</t>
  </si>
  <si>
    <t>v.name</t>
  </si>
  <si>
    <t>v.code</t>
  </si>
  <si>
    <t>party.code</t>
  </si>
  <si>
    <t>party.name</t>
  </si>
  <si>
    <t>p.name</t>
  </si>
  <si>
    <t>p.code</t>
  </si>
  <si>
    <t>electors_1936</t>
  </si>
  <si>
    <t>voters_1936</t>
  </si>
  <si>
    <t>turnout_1936</t>
  </si>
  <si>
    <t>tot_left_1936</t>
  </si>
  <si>
    <t>tot_right_1936</t>
  </si>
  <si>
    <t>tot_center_1936</t>
  </si>
  <si>
    <t>tot_PRR_1936</t>
  </si>
  <si>
    <t>mean_left_1936</t>
  </si>
  <si>
    <t>mean_right_1936</t>
  </si>
  <si>
    <t>mean_center_1936</t>
  </si>
  <si>
    <t>mean_PRR_1936</t>
  </si>
  <si>
    <t>percentage_left_1936</t>
  </si>
  <si>
    <t>percentage_right_1936</t>
  </si>
  <si>
    <t>percentage_center_1936</t>
  </si>
  <si>
    <t>percentage_PRR_1936</t>
  </si>
  <si>
    <t>tot_left_1936B</t>
  </si>
  <si>
    <t>tot_center_left_1936B</t>
  </si>
  <si>
    <t>mean_left_1936B</t>
  </si>
  <si>
    <t>mean_center_left_1936B</t>
  </si>
  <si>
    <t>percentage_left_1936B</t>
  </si>
  <si>
    <t>percentage_center_left_1936B</t>
  </si>
  <si>
    <t>Acebedo</t>
  </si>
  <si>
    <t>NA</t>
  </si>
  <si>
    <t>Electoral data:  Boletín Oficial de la Provincia de Ourense (1936)</t>
  </si>
  <si>
    <t>tot_left_1936B: Total number of votes left candidates</t>
  </si>
  <si>
    <t>tot_center_left_1936: Total number of votes center-left candidates</t>
  </si>
  <si>
    <t>tot_right_1936: Total number of votes right-wing candidature</t>
  </si>
  <si>
    <t>tot_center_1936: Total number of votes Center Party</t>
  </si>
  <si>
    <t>tot_PRR_1936: Total number of votes Radical Republican Party</t>
  </si>
  <si>
    <t>mean_left_1936: Mean vote to candidature Popular Front [full]</t>
  </si>
  <si>
    <t>mean_left_1936B: Mean vote to left candidates</t>
  </si>
  <si>
    <t>mean_right_1936: Mean vote to right-wing candidature</t>
  </si>
  <si>
    <t xml:space="preserve">mean_center_1936: Mean vote to Center Party </t>
  </si>
  <si>
    <t>mean_PRR_1936: Mean vote to Radical Republican Party</t>
  </si>
  <si>
    <t>percentage_left_1936: Percentage Popular Front [full]</t>
  </si>
  <si>
    <t>percentage_left_1936B: Percentage left candidates</t>
  </si>
  <si>
    <t>percentage_center_left_1936: Percentage center-left candidates</t>
  </si>
  <si>
    <t>percentage_right_1936: Percentage right-wing candidature</t>
  </si>
  <si>
    <t>percentage_center_1936: Percentage Center Party</t>
  </si>
  <si>
    <t xml:space="preserve">percentage_PRR_1936: Percentage Radical Republican Party </t>
  </si>
  <si>
    <t>Title: Electoral data, Ourense 1936  (Galicia, Spain)</t>
  </si>
  <si>
    <t>mean_center_left_1936: Mean vote to center-left candidates</t>
  </si>
  <si>
    <t>electors_1936:  Total number of electors in 1936s elections</t>
  </si>
  <si>
    <t>voters_1936:     Total number of voters in 1936s elections</t>
  </si>
  <si>
    <t>turnout_1936:  Turnout in 1936s elections (%)</t>
  </si>
  <si>
    <t>tot_left_1936:   Total number of votes Popular Front [full]</t>
  </si>
  <si>
    <t xml:space="preserve">Percentage vote - (Mean vote /voters )* 100 </t>
  </si>
  <si>
    <t>Total number of votes - The sum of the candidates' votes by sections to have the municipality</t>
  </si>
  <si>
    <t>Partido Republicano Radical (Radical Republican Party): Justo Villanueva Gómez, Emilio Novóa González, Felisindo Menor Quintas, Luis Usera Bugallal, Leandro Garnolo Fernández</t>
  </si>
  <si>
    <t>Derechas (Right):  José Calvo Sotelo (RE), Andrés Amado y R. de Villebardet (RE), José Sabucedo González (RE), Luis Espada Guntin (CEDA), Laureano Peláez Canellas (CEDA), Ramón Villarino de Sáa (CEDA), Ramón Delage Santos (tradicionalista)</t>
  </si>
  <si>
    <t>Calculations and variables</t>
  </si>
  <si>
    <t>Frente Popular (Left):  Alfonso Pazos Cid (UR, center-left), Manuel Martínez Risco (IR, center-left), Manuel García Becerra (IR, center-left), Alejandro Bóveda Iglesias (FP, left), Manuel Suárez Castro (PSOE, left), Ramón Fuentes Canal (PSOE, left), Benigno Álvarez González (Comunista, left)</t>
  </si>
  <si>
    <t>Pedro Diz Sánchez</t>
  </si>
  <si>
    <t xml:space="preserve">Mean vote - Total number of votes / 7.   Note: 7 is the number of candidates elected in the province for the majorities - first round. </t>
  </si>
  <si>
    <t xml:space="preserve">Ourense 7+2, where 7 candidates were elected in the first round (majorities-this dataset) and 2 in the second round (minorities): </t>
  </si>
  <si>
    <t>Partido de Centro (Center Party): Basilio Álvarez Rodríguez, Fernando Ramos Cerviño, Antonio Taboada Tundidor, Bernardo Castro Fernández, Ramón Varela Fernández, Benito Luis Lorenzo Rodríguez, Luis Fábrega Santamarina</t>
  </si>
  <si>
    <t xml:space="preserve">Derechas (3 RE-Calvo Sotelo, Sabucedo, Amado; 3 CEDA-Peláez, Espada, Villarino);  Centro (Antonio Taboada, Ramos Cerviño); Partido Republicano Radical (Villanueva); FP (0). Source: https://www.historiaelectoral.com/e1936c.html </t>
  </si>
  <si>
    <t>Candidatures. Source: local newspapers in https://biblioteca.galiciana.gal/es/consulta/registro.do?id=7674 (La Zarpa, La Región,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</si>
</sst>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sz val="10"/>
      <name val="Book Antiqua"/>
      <family val="1"/>
    </font>
    <font>
      <sz val="10"/>
      <color theme="1"/>
      <name val="Book Antiqua"/>
      <family val="1"/>
    </font>
    <font>
      <i/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4E4C-6364-4BEC-9DEE-3ABF2931F1A6}">
  <dimension ref="A1:H40"/>
  <sheetViews>
    <sheetView tabSelected="1" workbookViewId="0">
      <selection activeCell="E5" sqref="E5"/>
    </sheetView>
  </sheetViews>
  <sheetFormatPr baseColWidth="10" defaultRowHeight="14.4" x14ac:dyDescent="0.3"/>
  <sheetData>
    <row r="1" spans="1:8" s="4" customFormat="1" x14ac:dyDescent="0.3">
      <c r="A1" s="6" t="s">
        <v>146</v>
      </c>
      <c r="B1" s="6"/>
      <c r="C1" s="6"/>
      <c r="D1" s="6"/>
      <c r="E1" s="6"/>
      <c r="F1" s="6"/>
    </row>
    <row r="2" spans="1:8" s="6" customFormat="1" x14ac:dyDescent="0.3">
      <c r="A2" s="6" t="s">
        <v>158</v>
      </c>
    </row>
    <row r="4" spans="1:8" s="1" customFormat="1" x14ac:dyDescent="0.3">
      <c r="A4" s="9" t="s">
        <v>129</v>
      </c>
      <c r="B4" s="9"/>
      <c r="C4" s="9"/>
      <c r="D4" s="9"/>
      <c r="E4" s="9"/>
      <c r="F4" s="9"/>
      <c r="G4" s="9"/>
      <c r="H4" s="9"/>
    </row>
    <row r="5" spans="1:8" s="1" customFormat="1" x14ac:dyDescent="0.3">
      <c r="A5" s="3"/>
      <c r="B5" s="3"/>
      <c r="C5" s="3"/>
      <c r="D5" s="3"/>
      <c r="E5" s="3"/>
      <c r="F5" s="3"/>
      <c r="G5" s="3"/>
      <c r="H5" s="3"/>
    </row>
    <row r="6" spans="1:8" s="9" customFormat="1" ht="14.4" customHeight="1" x14ac:dyDescent="0.3">
      <c r="A6" s="9" t="s">
        <v>163</v>
      </c>
    </row>
    <row r="7" spans="1:8" s="8" customFormat="1" ht="14.4" customHeight="1" x14ac:dyDescent="0.3">
      <c r="A7" s="8" t="s">
        <v>155</v>
      </c>
    </row>
    <row r="8" spans="1:8" s="8" customFormat="1" ht="14.4" customHeight="1" x14ac:dyDescent="0.3">
      <c r="A8" s="8" t="s">
        <v>157</v>
      </c>
    </row>
    <row r="9" spans="1:8" s="8" customFormat="1" ht="14.4" customHeight="1" x14ac:dyDescent="0.3">
      <c r="A9" s="8" t="s">
        <v>161</v>
      </c>
    </row>
    <row r="10" spans="1:8" s="7" customFormat="1" ht="14.4" customHeight="1" x14ac:dyDescent="0.3">
      <c r="A10" s="7" t="s">
        <v>154</v>
      </c>
    </row>
    <row r="11" spans="1:8" s="5" customFormat="1" ht="14.4" customHeight="1" x14ac:dyDescent="0.3"/>
    <row r="12" spans="1:8" s="7" customFormat="1" ht="14.4" customHeight="1" x14ac:dyDescent="0.3">
      <c r="A12" s="7" t="s">
        <v>160</v>
      </c>
    </row>
    <row r="13" spans="1:8" s="7" customFormat="1" ht="14.4" customHeight="1" x14ac:dyDescent="0.3">
      <c r="A13" s="7" t="s">
        <v>162</v>
      </c>
    </row>
    <row r="14" spans="1:8" s="5" customFormat="1" ht="14.4" customHeight="1" x14ac:dyDescent="0.3"/>
    <row r="15" spans="1:8" s="9" customFormat="1" ht="14.4" customHeight="1" x14ac:dyDescent="0.3">
      <c r="A15" s="9" t="s">
        <v>156</v>
      </c>
    </row>
    <row r="16" spans="1:8" s="8" customFormat="1" ht="14.4" customHeight="1" x14ac:dyDescent="0.3">
      <c r="A16" s="8" t="s">
        <v>153</v>
      </c>
    </row>
    <row r="17" spans="1:1" s="9" customFormat="1" ht="14.4" customHeight="1" x14ac:dyDescent="0.3">
      <c r="A17" s="8" t="s">
        <v>159</v>
      </c>
    </row>
    <row r="18" spans="1:1" s="9" customFormat="1" ht="14.4" customHeight="1" x14ac:dyDescent="0.3">
      <c r="A18" s="8" t="s">
        <v>152</v>
      </c>
    </row>
    <row r="19" spans="1:1" s="3" customFormat="1" ht="14.4" customHeight="1" x14ac:dyDescent="0.3">
      <c r="A19" s="2"/>
    </row>
    <row r="20" spans="1:1" s="11" customFormat="1" ht="14.4" customHeight="1" x14ac:dyDescent="0.3">
      <c r="A20" s="11" t="s">
        <v>148</v>
      </c>
    </row>
    <row r="21" spans="1:1" s="10" customFormat="1" ht="14.4" customHeight="1" x14ac:dyDescent="0.3">
      <c r="A21" s="10" t="s">
        <v>149</v>
      </c>
    </row>
    <row r="22" spans="1:1" s="10" customFormat="1" ht="14.4" customHeight="1" x14ac:dyDescent="0.3">
      <c r="A22" s="10" t="s">
        <v>150</v>
      </c>
    </row>
    <row r="23" spans="1:1" s="10" customFormat="1" ht="14.4" customHeight="1" x14ac:dyDescent="0.3">
      <c r="A23" s="10" t="s">
        <v>151</v>
      </c>
    </row>
    <row r="24" spans="1:1" s="12" customFormat="1" ht="14.4" customHeight="1" x14ac:dyDescent="0.3">
      <c r="A24" s="12" t="s">
        <v>130</v>
      </c>
    </row>
    <row r="25" spans="1:1" s="10" customFormat="1" ht="14.4" customHeight="1" x14ac:dyDescent="0.3">
      <c r="A25" s="10" t="s">
        <v>131</v>
      </c>
    </row>
    <row r="26" spans="1:1" s="10" customFormat="1" ht="14.4" customHeight="1" x14ac:dyDescent="0.3">
      <c r="A26" s="10" t="s">
        <v>132</v>
      </c>
    </row>
    <row r="27" spans="1:1" s="10" customFormat="1" ht="14.4" customHeight="1" x14ac:dyDescent="0.3">
      <c r="A27" s="10" t="s">
        <v>133</v>
      </c>
    </row>
    <row r="28" spans="1:1" s="10" customFormat="1" ht="13.8" x14ac:dyDescent="0.3">
      <c r="A28" s="10" t="s">
        <v>134</v>
      </c>
    </row>
    <row r="29" spans="1:1" s="10" customFormat="1" ht="13.8" x14ac:dyDescent="0.3">
      <c r="A29" s="10" t="s">
        <v>135</v>
      </c>
    </row>
    <row r="30" spans="1:1" s="10" customFormat="1" ht="13.8" x14ac:dyDescent="0.3">
      <c r="A30" s="10" t="s">
        <v>136</v>
      </c>
    </row>
    <row r="31" spans="1:1" s="10" customFormat="1" ht="13.8" x14ac:dyDescent="0.3">
      <c r="A31" s="10" t="s">
        <v>147</v>
      </c>
    </row>
    <row r="32" spans="1:1" s="10" customFormat="1" ht="14.4" customHeight="1" x14ac:dyDescent="0.3">
      <c r="A32" s="10" t="s">
        <v>137</v>
      </c>
    </row>
    <row r="33" spans="1:1" s="10" customFormat="1" ht="14.4" customHeight="1" x14ac:dyDescent="0.3">
      <c r="A33" s="10" t="s">
        <v>138</v>
      </c>
    </row>
    <row r="34" spans="1:1" s="10" customFormat="1" ht="14.4" customHeight="1" x14ac:dyDescent="0.3">
      <c r="A34" s="10" t="s">
        <v>139</v>
      </c>
    </row>
    <row r="35" spans="1:1" s="10" customFormat="1" ht="14.4" customHeight="1" x14ac:dyDescent="0.3">
      <c r="A35" s="10" t="s">
        <v>140</v>
      </c>
    </row>
    <row r="36" spans="1:1" s="10" customFormat="1" ht="14.4" customHeight="1" x14ac:dyDescent="0.3">
      <c r="A36" s="10" t="s">
        <v>141</v>
      </c>
    </row>
    <row r="37" spans="1:1" s="10" customFormat="1" ht="14.4" customHeight="1" x14ac:dyDescent="0.3">
      <c r="A37" s="10" t="s">
        <v>142</v>
      </c>
    </row>
    <row r="38" spans="1:1" s="10" customFormat="1" ht="14.4" customHeight="1" x14ac:dyDescent="0.3">
      <c r="A38" s="10" t="s">
        <v>143</v>
      </c>
    </row>
    <row r="39" spans="1:1" s="10" customFormat="1" ht="14.4" customHeight="1" x14ac:dyDescent="0.3">
      <c r="A39" s="10" t="s">
        <v>144</v>
      </c>
    </row>
    <row r="40" spans="1:1" s="10" customFormat="1" ht="14.4" customHeight="1" x14ac:dyDescent="0.3">
      <c r="A40" s="10" t="s">
        <v>145</v>
      </c>
    </row>
  </sheetData>
  <mergeCells count="35">
    <mergeCell ref="A1:F1"/>
    <mergeCell ref="A20:XFD20"/>
    <mergeCell ref="A21:XFD21"/>
    <mergeCell ref="A22:XFD22"/>
    <mergeCell ref="A23:XFD23"/>
    <mergeCell ref="A4:H4"/>
    <mergeCell ref="A16:XFD16"/>
    <mergeCell ref="A17:XFD17"/>
    <mergeCell ref="A18:XFD18"/>
    <mergeCell ref="A39:XFD39"/>
    <mergeCell ref="A40:XFD40"/>
    <mergeCell ref="A29:XFD29"/>
    <mergeCell ref="A30:XFD30"/>
    <mergeCell ref="A31:XFD31"/>
    <mergeCell ref="A32:XFD32"/>
    <mergeCell ref="A33:XFD33"/>
    <mergeCell ref="A34:XFD34"/>
    <mergeCell ref="A15:XFD15"/>
    <mergeCell ref="A35:XFD35"/>
    <mergeCell ref="A36:XFD36"/>
    <mergeCell ref="A37:XFD37"/>
    <mergeCell ref="A38:XFD38"/>
    <mergeCell ref="A25:XFD25"/>
    <mergeCell ref="A26:XFD26"/>
    <mergeCell ref="A27:XFD27"/>
    <mergeCell ref="A28:XFD28"/>
    <mergeCell ref="A24:XFD24"/>
    <mergeCell ref="A2:XFD2"/>
    <mergeCell ref="A12:XFD12"/>
    <mergeCell ref="A13:XFD13"/>
    <mergeCell ref="A8:XFD8"/>
    <mergeCell ref="A7:XFD7"/>
    <mergeCell ref="A9:XFD9"/>
    <mergeCell ref="A10:XFD10"/>
    <mergeCell ref="A6:XFD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CD78-2E29-4DD8-9CFC-97C1E984C4FB}">
  <dimension ref="A1:AB99"/>
  <sheetViews>
    <sheetView topLeftCell="L1" workbookViewId="0">
      <selection activeCell="W2" sqref="W2"/>
    </sheetView>
  </sheetViews>
  <sheetFormatPr baseColWidth="10" defaultRowHeight="14.4" x14ac:dyDescent="0.3"/>
  <sheetData>
    <row r="1" spans="1:28" x14ac:dyDescent="0.3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121</v>
      </c>
      <c r="M1" t="s">
        <v>122</v>
      </c>
      <c r="N1" t="s">
        <v>110</v>
      </c>
      <c r="O1" t="s">
        <v>111</v>
      </c>
      <c r="P1" t="s">
        <v>112</v>
      </c>
      <c r="Q1" t="s">
        <v>113</v>
      </c>
      <c r="R1" t="s">
        <v>123</v>
      </c>
      <c r="S1" t="s">
        <v>124</v>
      </c>
      <c r="T1" t="s">
        <v>114</v>
      </c>
      <c r="U1" t="s">
        <v>115</v>
      </c>
      <c r="V1" t="s">
        <v>116</v>
      </c>
      <c r="W1" t="s">
        <v>117</v>
      </c>
      <c r="X1" t="s">
        <v>125</v>
      </c>
      <c r="Y1" t="s">
        <v>126</v>
      </c>
      <c r="Z1" t="s">
        <v>118</v>
      </c>
      <c r="AA1" t="s">
        <v>119</v>
      </c>
      <c r="AB1" t="s">
        <v>120</v>
      </c>
    </row>
    <row r="2" spans="1:28" x14ac:dyDescent="0.3">
      <c r="A2">
        <v>168</v>
      </c>
      <c r="B2" t="s">
        <v>127</v>
      </c>
      <c r="C2">
        <v>99007</v>
      </c>
      <c r="D2">
        <v>29</v>
      </c>
      <c r="E2" t="s">
        <v>19</v>
      </c>
      <c r="F2" t="s">
        <v>1</v>
      </c>
      <c r="G2">
        <v>3</v>
      </c>
      <c r="H2">
        <v>1008</v>
      </c>
      <c r="I2">
        <v>906</v>
      </c>
      <c r="J2">
        <f>(I2/H2)*100</f>
        <v>89.88095238095238</v>
      </c>
      <c r="K2">
        <v>1120</v>
      </c>
      <c r="L2">
        <v>580</v>
      </c>
      <c r="M2">
        <v>540</v>
      </c>
      <c r="N2">
        <v>2099</v>
      </c>
      <c r="O2">
        <v>2116</v>
      </c>
      <c r="P2">
        <v>1007</v>
      </c>
      <c r="Q2">
        <f t="shared" ref="Q2:V3" si="0">K2/7</f>
        <v>160</v>
      </c>
      <c r="R2">
        <f t="shared" si="0"/>
        <v>82.857142857142861</v>
      </c>
      <c r="S2">
        <f t="shared" si="0"/>
        <v>77.142857142857139</v>
      </c>
      <c r="T2">
        <f t="shared" si="0"/>
        <v>299.85714285714283</v>
      </c>
      <c r="U2">
        <f t="shared" si="0"/>
        <v>302.28571428571428</v>
      </c>
      <c r="V2">
        <f t="shared" si="0"/>
        <v>143.85714285714286</v>
      </c>
      <c r="W2">
        <f>(Q2/I2)*100</f>
        <v>17.660044150110377</v>
      </c>
      <c r="X2">
        <f>(R2/I2)*100</f>
        <v>9.1453800063071586</v>
      </c>
      <c r="Y2">
        <f>(S2/I2)*100</f>
        <v>8.5146641438032162</v>
      </c>
      <c r="Z2">
        <f>(T2/I2)*100</f>
        <v>33.096814884894357</v>
      </c>
      <c r="AA2">
        <f>(U2/I2)*100</f>
        <v>33.36486912645853</v>
      </c>
      <c r="AB2">
        <f>(V2/I2)*100</f>
        <v>15.87827183853674</v>
      </c>
    </row>
    <row r="3" spans="1:28" x14ac:dyDescent="0.3">
      <c r="A3">
        <v>169</v>
      </c>
      <c r="B3" t="s">
        <v>0</v>
      </c>
      <c r="C3">
        <v>32001</v>
      </c>
      <c r="D3">
        <v>26</v>
      </c>
      <c r="E3" t="s">
        <v>0</v>
      </c>
      <c r="F3" t="s">
        <v>1</v>
      </c>
      <c r="G3">
        <v>3</v>
      </c>
      <c r="H3">
        <v>4841</v>
      </c>
      <c r="I3">
        <v>2545</v>
      </c>
      <c r="J3">
        <f>(I3/H3)*100</f>
        <v>52.571782689526955</v>
      </c>
      <c r="K3">
        <v>2026</v>
      </c>
      <c r="L3">
        <v>1074</v>
      </c>
      <c r="M3">
        <v>952</v>
      </c>
      <c r="N3">
        <v>14028</v>
      </c>
      <c r="O3">
        <v>2939</v>
      </c>
      <c r="P3">
        <v>639</v>
      </c>
      <c r="Q3">
        <f t="shared" si="0"/>
        <v>289.42857142857144</v>
      </c>
      <c r="R3">
        <f t="shared" si="0"/>
        <v>153.42857142857142</v>
      </c>
      <c r="S3">
        <f t="shared" si="0"/>
        <v>136</v>
      </c>
      <c r="T3">
        <f t="shared" si="0"/>
        <v>2004</v>
      </c>
      <c r="U3">
        <f t="shared" si="0"/>
        <v>419.85714285714283</v>
      </c>
      <c r="V3">
        <f t="shared" si="0"/>
        <v>91.285714285714292</v>
      </c>
      <c r="W3">
        <f>(Q3/I3)*100</f>
        <v>11.37243895593601</v>
      </c>
      <c r="X3">
        <f>(R3/I3)*100</f>
        <v>6.0286275610440638</v>
      </c>
      <c r="Y3">
        <f>(S3/I3)*100</f>
        <v>5.3438113948919455</v>
      </c>
      <c r="Z3">
        <f>(T3/I3)*100</f>
        <v>78.742632612966602</v>
      </c>
      <c r="AA3">
        <f>(U3/I3)*100</f>
        <v>16.497333707549817</v>
      </c>
      <c r="AB3">
        <f>(V3/I3)*100</f>
        <v>3.5868650014033125</v>
      </c>
    </row>
    <row r="4" spans="1:28" x14ac:dyDescent="0.3">
      <c r="A4">
        <v>170</v>
      </c>
      <c r="B4" t="s">
        <v>2</v>
      </c>
      <c r="C4">
        <v>32002</v>
      </c>
      <c r="D4">
        <v>31</v>
      </c>
      <c r="E4" t="s">
        <v>1</v>
      </c>
      <c r="F4" t="s">
        <v>1</v>
      </c>
      <c r="G4">
        <v>3</v>
      </c>
      <c r="H4">
        <v>1932</v>
      </c>
      <c r="I4">
        <v>1041</v>
      </c>
      <c r="J4">
        <f t="shared" ref="J4:J67" si="1">(I4/H4)*100</f>
        <v>53.881987577639755</v>
      </c>
      <c r="K4">
        <v>3298</v>
      </c>
      <c r="L4">
        <v>1689</v>
      </c>
      <c r="M4">
        <v>1609</v>
      </c>
      <c r="N4">
        <v>1994</v>
      </c>
      <c r="O4">
        <v>1456</v>
      </c>
      <c r="P4">
        <v>355</v>
      </c>
      <c r="Q4">
        <f t="shared" ref="Q4:Q67" si="2">K4/7</f>
        <v>471.14285714285717</v>
      </c>
      <c r="R4">
        <f t="shared" ref="R4:R67" si="3">L4/7</f>
        <v>241.28571428571428</v>
      </c>
      <c r="S4">
        <f t="shared" ref="S4:S67" si="4">M4/7</f>
        <v>229.85714285714286</v>
      </c>
      <c r="T4">
        <f t="shared" ref="T4:T67" si="5">N4/7</f>
        <v>284.85714285714283</v>
      </c>
      <c r="U4">
        <f t="shared" ref="U4:U67" si="6">O4/7</f>
        <v>208</v>
      </c>
      <c r="V4">
        <f t="shared" ref="V4:V67" si="7">P4/7</f>
        <v>50.714285714285715</v>
      </c>
      <c r="W4">
        <f t="shared" ref="W4:W67" si="8">(Q4/I4)*100</f>
        <v>45.258679840812412</v>
      </c>
      <c r="X4">
        <f t="shared" ref="X4:X67" si="9">(R4/I4)*100</f>
        <v>23.17826265953067</v>
      </c>
      <c r="Y4">
        <f t="shared" ref="Y4:Y67" si="10">(S4/I4)*100</f>
        <v>22.080417181281735</v>
      </c>
      <c r="Z4">
        <f t="shared" ref="Z4:Z67" si="11">(T4/I4)*100</f>
        <v>27.36379854535474</v>
      </c>
      <c r="AA4">
        <f t="shared" ref="AA4:AA67" si="12">(U4/I4)*100</f>
        <v>19.980787704130641</v>
      </c>
      <c r="AB4">
        <f t="shared" ref="AB4:AB67" si="13">(V4/I4)*100</f>
        <v>4.8716893097296561</v>
      </c>
    </row>
    <row r="5" spans="1:28" x14ac:dyDescent="0.3">
      <c r="A5">
        <v>171</v>
      </c>
      <c r="B5" t="s">
        <v>3</v>
      </c>
      <c r="C5">
        <v>32003</v>
      </c>
      <c r="D5">
        <v>33</v>
      </c>
      <c r="E5" t="s">
        <v>4</v>
      </c>
      <c r="F5" t="s">
        <v>1</v>
      </c>
      <c r="G5">
        <v>3</v>
      </c>
      <c r="H5">
        <v>1468</v>
      </c>
      <c r="I5">
        <v>1061</v>
      </c>
      <c r="J5">
        <f t="shared" si="1"/>
        <v>72.275204359673026</v>
      </c>
      <c r="K5">
        <v>1476</v>
      </c>
      <c r="L5">
        <v>561</v>
      </c>
      <c r="M5">
        <v>915</v>
      </c>
      <c r="N5">
        <v>4239</v>
      </c>
      <c r="O5">
        <v>1355</v>
      </c>
      <c r="P5">
        <v>352</v>
      </c>
      <c r="Q5">
        <f t="shared" si="2"/>
        <v>210.85714285714286</v>
      </c>
      <c r="R5">
        <f t="shared" si="3"/>
        <v>80.142857142857139</v>
      </c>
      <c r="S5">
        <f t="shared" si="4"/>
        <v>130.71428571428572</v>
      </c>
      <c r="T5">
        <f t="shared" si="5"/>
        <v>605.57142857142856</v>
      </c>
      <c r="U5">
        <f t="shared" si="6"/>
        <v>193.57142857142858</v>
      </c>
      <c r="V5">
        <f t="shared" si="7"/>
        <v>50.285714285714285</v>
      </c>
      <c r="W5">
        <f t="shared" si="8"/>
        <v>19.873434765046451</v>
      </c>
      <c r="X5">
        <f t="shared" si="9"/>
        <v>7.5535209371213137</v>
      </c>
      <c r="Y5">
        <f t="shared" si="10"/>
        <v>12.319913827925138</v>
      </c>
      <c r="Z5">
        <f t="shared" si="11"/>
        <v>57.07553520937121</v>
      </c>
      <c r="AA5">
        <f t="shared" si="12"/>
        <v>18.244243974686956</v>
      </c>
      <c r="AB5">
        <f t="shared" si="13"/>
        <v>4.7394641174094518</v>
      </c>
    </row>
    <row r="6" spans="1:28" x14ac:dyDescent="0.3">
      <c r="A6">
        <v>172</v>
      </c>
      <c r="B6" t="s">
        <v>5</v>
      </c>
      <c r="C6">
        <v>32004</v>
      </c>
      <c r="D6">
        <v>33</v>
      </c>
      <c r="E6" t="s">
        <v>4</v>
      </c>
      <c r="F6" t="s">
        <v>1</v>
      </c>
      <c r="G6">
        <v>3</v>
      </c>
      <c r="H6">
        <v>3807</v>
      </c>
      <c r="I6">
        <v>3587</v>
      </c>
      <c r="J6">
        <f t="shared" si="1"/>
        <v>94.221171526136061</v>
      </c>
      <c r="K6">
        <v>4703</v>
      </c>
      <c r="L6">
        <v>1107</v>
      </c>
      <c r="M6">
        <v>3596</v>
      </c>
      <c r="N6">
        <v>8025</v>
      </c>
      <c r="O6">
        <v>11254</v>
      </c>
      <c r="P6">
        <v>1122</v>
      </c>
      <c r="Q6">
        <f t="shared" si="2"/>
        <v>671.85714285714289</v>
      </c>
      <c r="R6">
        <f t="shared" si="3"/>
        <v>158.14285714285714</v>
      </c>
      <c r="S6">
        <f t="shared" si="4"/>
        <v>513.71428571428567</v>
      </c>
      <c r="T6">
        <f t="shared" si="5"/>
        <v>1146.4285714285713</v>
      </c>
      <c r="U6">
        <f t="shared" si="6"/>
        <v>1607.7142857142858</v>
      </c>
      <c r="V6">
        <f t="shared" si="7"/>
        <v>160.28571428571428</v>
      </c>
      <c r="W6">
        <f t="shared" si="8"/>
        <v>18.730335736190213</v>
      </c>
      <c r="X6">
        <f t="shared" si="9"/>
        <v>4.4087777291011188</v>
      </c>
      <c r="Y6">
        <f t="shared" si="10"/>
        <v>14.321558007089092</v>
      </c>
      <c r="Z6">
        <f t="shared" si="11"/>
        <v>31.960651559201875</v>
      </c>
      <c r="AA6">
        <f t="shared" si="12"/>
        <v>44.820582261340562</v>
      </c>
      <c r="AB6">
        <f t="shared" si="13"/>
        <v>4.4685172647257954</v>
      </c>
    </row>
    <row r="7" spans="1:28" x14ac:dyDescent="0.3">
      <c r="A7">
        <v>173</v>
      </c>
      <c r="B7" t="s">
        <v>6</v>
      </c>
      <c r="C7">
        <v>32005</v>
      </c>
      <c r="D7">
        <v>30</v>
      </c>
      <c r="E7" t="s">
        <v>7</v>
      </c>
      <c r="F7" t="s">
        <v>1</v>
      </c>
      <c r="G7">
        <v>3</v>
      </c>
      <c r="H7">
        <v>1891</v>
      </c>
      <c r="I7">
        <v>1513</v>
      </c>
      <c r="J7">
        <f t="shared" si="1"/>
        <v>80.010576414595448</v>
      </c>
      <c r="K7">
        <v>728</v>
      </c>
      <c r="L7">
        <v>182</v>
      </c>
      <c r="M7">
        <v>546</v>
      </c>
      <c r="N7">
        <v>5113</v>
      </c>
      <c r="O7">
        <v>1145</v>
      </c>
      <c r="P7">
        <v>3055</v>
      </c>
      <c r="Q7">
        <f t="shared" si="2"/>
        <v>104</v>
      </c>
      <c r="R7">
        <f t="shared" si="3"/>
        <v>26</v>
      </c>
      <c r="S7">
        <f t="shared" si="4"/>
        <v>78</v>
      </c>
      <c r="T7">
        <f t="shared" si="5"/>
        <v>730.42857142857144</v>
      </c>
      <c r="U7">
        <f t="shared" si="6"/>
        <v>163.57142857142858</v>
      </c>
      <c r="V7">
        <f t="shared" si="7"/>
        <v>436.42857142857144</v>
      </c>
      <c r="W7">
        <f t="shared" si="8"/>
        <v>6.8737607402511571</v>
      </c>
      <c r="X7">
        <f t="shared" si="9"/>
        <v>1.7184401850627893</v>
      </c>
      <c r="Y7">
        <f t="shared" si="10"/>
        <v>5.1553205551883678</v>
      </c>
      <c r="Z7">
        <f t="shared" si="11"/>
        <v>48.276838825417805</v>
      </c>
      <c r="AA7">
        <f t="shared" si="12"/>
        <v>10.811065999433483</v>
      </c>
      <c r="AB7">
        <f t="shared" si="13"/>
        <v>28.84524596355396</v>
      </c>
    </row>
    <row r="8" spans="1:28" x14ac:dyDescent="0.3">
      <c r="A8">
        <v>174</v>
      </c>
      <c r="B8" t="s">
        <v>8</v>
      </c>
      <c r="C8">
        <v>32006</v>
      </c>
      <c r="D8">
        <v>27</v>
      </c>
      <c r="E8" t="s">
        <v>8</v>
      </c>
      <c r="F8" t="s">
        <v>1</v>
      </c>
      <c r="G8">
        <v>3</v>
      </c>
      <c r="H8">
        <v>3154</v>
      </c>
      <c r="I8">
        <v>1201</v>
      </c>
      <c r="J8">
        <f t="shared" si="1"/>
        <v>38.078630310716548</v>
      </c>
      <c r="K8">
        <v>2586</v>
      </c>
      <c r="L8">
        <v>1216</v>
      </c>
      <c r="M8">
        <v>1370</v>
      </c>
      <c r="N8">
        <v>3141</v>
      </c>
      <c r="O8">
        <v>1360</v>
      </c>
      <c r="P8">
        <v>1109</v>
      </c>
      <c r="Q8">
        <f t="shared" si="2"/>
        <v>369.42857142857144</v>
      </c>
      <c r="R8">
        <f t="shared" si="3"/>
        <v>173.71428571428572</v>
      </c>
      <c r="S8">
        <f t="shared" si="4"/>
        <v>195.71428571428572</v>
      </c>
      <c r="T8">
        <f t="shared" si="5"/>
        <v>448.71428571428572</v>
      </c>
      <c r="U8">
        <f t="shared" si="6"/>
        <v>194.28571428571428</v>
      </c>
      <c r="V8">
        <f t="shared" si="7"/>
        <v>158.42857142857142</v>
      </c>
      <c r="W8">
        <f t="shared" si="8"/>
        <v>30.760080884976805</v>
      </c>
      <c r="X8">
        <f t="shared" si="9"/>
        <v>14.464137028666588</v>
      </c>
      <c r="Y8">
        <f t="shared" si="10"/>
        <v>16.29594385631022</v>
      </c>
      <c r="Z8">
        <f t="shared" si="11"/>
        <v>37.361722374211965</v>
      </c>
      <c r="AA8">
        <f t="shared" si="12"/>
        <v>16.176995361008682</v>
      </c>
      <c r="AB8">
        <f t="shared" si="13"/>
        <v>13.191388128940169</v>
      </c>
    </row>
    <row r="9" spans="1:28" x14ac:dyDescent="0.3">
      <c r="A9">
        <v>175</v>
      </c>
      <c r="B9" t="s">
        <v>9</v>
      </c>
      <c r="C9">
        <v>32007</v>
      </c>
      <c r="D9">
        <v>26</v>
      </c>
      <c r="E9" t="s">
        <v>0</v>
      </c>
      <c r="F9" t="s">
        <v>1</v>
      </c>
      <c r="G9">
        <v>3</v>
      </c>
      <c r="H9">
        <v>3271</v>
      </c>
      <c r="I9">
        <v>2705</v>
      </c>
      <c r="J9">
        <f t="shared" si="1"/>
        <v>82.696423112198104</v>
      </c>
      <c r="K9">
        <v>20</v>
      </c>
      <c r="L9">
        <v>0</v>
      </c>
      <c r="M9">
        <v>20</v>
      </c>
      <c r="N9">
        <v>10055</v>
      </c>
      <c r="O9">
        <v>4851</v>
      </c>
      <c r="P9">
        <v>3872</v>
      </c>
      <c r="Q9">
        <f t="shared" si="2"/>
        <v>2.8571428571428572</v>
      </c>
      <c r="R9">
        <f t="shared" si="3"/>
        <v>0</v>
      </c>
      <c r="S9">
        <f t="shared" si="4"/>
        <v>2.8571428571428572</v>
      </c>
      <c r="T9">
        <f t="shared" si="5"/>
        <v>1436.4285714285713</v>
      </c>
      <c r="U9">
        <f t="shared" si="6"/>
        <v>693</v>
      </c>
      <c r="V9">
        <f t="shared" si="7"/>
        <v>553.14285714285711</v>
      </c>
      <c r="W9">
        <f t="shared" si="8"/>
        <v>0.10562450488513335</v>
      </c>
      <c r="X9">
        <f t="shared" si="9"/>
        <v>0</v>
      </c>
      <c r="Y9">
        <f t="shared" si="10"/>
        <v>0.10562450488513335</v>
      </c>
      <c r="Z9">
        <f t="shared" si="11"/>
        <v>53.10271983100079</v>
      </c>
      <c r="AA9">
        <f t="shared" si="12"/>
        <v>25.619223659889094</v>
      </c>
      <c r="AB9">
        <f t="shared" si="13"/>
        <v>20.448904145761816</v>
      </c>
    </row>
    <row r="10" spans="1:28" x14ac:dyDescent="0.3">
      <c r="A10">
        <v>176</v>
      </c>
      <c r="B10" t="s">
        <v>10</v>
      </c>
      <c r="C10">
        <v>32008</v>
      </c>
      <c r="D10">
        <v>31</v>
      </c>
      <c r="E10" t="s">
        <v>1</v>
      </c>
      <c r="F10" t="s">
        <v>1</v>
      </c>
      <c r="G10">
        <v>3</v>
      </c>
      <c r="H10">
        <v>2064</v>
      </c>
      <c r="I10">
        <v>1241</v>
      </c>
      <c r="J10">
        <f t="shared" si="1"/>
        <v>60.125968992248055</v>
      </c>
      <c r="K10">
        <v>2876</v>
      </c>
      <c r="L10">
        <v>1525</v>
      </c>
      <c r="M10">
        <v>1351</v>
      </c>
      <c r="N10">
        <v>3852</v>
      </c>
      <c r="O10">
        <v>1584</v>
      </c>
      <c r="P10">
        <v>427</v>
      </c>
      <c r="Q10">
        <f t="shared" si="2"/>
        <v>410.85714285714283</v>
      </c>
      <c r="R10">
        <f t="shared" si="3"/>
        <v>217.85714285714286</v>
      </c>
      <c r="S10">
        <f t="shared" si="4"/>
        <v>193</v>
      </c>
      <c r="T10">
        <f t="shared" si="5"/>
        <v>550.28571428571433</v>
      </c>
      <c r="U10">
        <f t="shared" si="6"/>
        <v>226.28571428571428</v>
      </c>
      <c r="V10">
        <f t="shared" si="7"/>
        <v>61</v>
      </c>
      <c r="W10">
        <f t="shared" si="8"/>
        <v>33.106941406699661</v>
      </c>
      <c r="X10">
        <f t="shared" si="9"/>
        <v>17.554967192356393</v>
      </c>
      <c r="Y10">
        <f t="shared" si="10"/>
        <v>15.551974214343273</v>
      </c>
      <c r="Z10">
        <f t="shared" si="11"/>
        <v>44.342120409807762</v>
      </c>
      <c r="AA10">
        <f t="shared" si="12"/>
        <v>18.234142972257395</v>
      </c>
      <c r="AB10">
        <f t="shared" si="13"/>
        <v>4.9153908138597906</v>
      </c>
    </row>
    <row r="11" spans="1:28" x14ac:dyDescent="0.3">
      <c r="A11">
        <v>177</v>
      </c>
      <c r="B11" t="s">
        <v>11</v>
      </c>
      <c r="C11">
        <v>32009</v>
      </c>
      <c r="D11">
        <v>34</v>
      </c>
      <c r="E11" t="s">
        <v>12</v>
      </c>
      <c r="F11" t="s">
        <v>1</v>
      </c>
      <c r="G11">
        <v>3</v>
      </c>
      <c r="H11" t="s">
        <v>128</v>
      </c>
      <c r="I11" t="s">
        <v>128</v>
      </c>
      <c r="J11" t="s">
        <v>128</v>
      </c>
      <c r="K11" t="s">
        <v>128</v>
      </c>
      <c r="L11" t="s">
        <v>128</v>
      </c>
      <c r="M11" t="s">
        <v>128</v>
      </c>
      <c r="N11" t="s">
        <v>128</v>
      </c>
      <c r="O11" t="s">
        <v>128</v>
      </c>
      <c r="P11" t="s">
        <v>128</v>
      </c>
      <c r="Q11" t="s">
        <v>128</v>
      </c>
      <c r="R11" t="s">
        <v>128</v>
      </c>
      <c r="S11" t="s">
        <v>128</v>
      </c>
      <c r="T11" t="s">
        <v>128</v>
      </c>
      <c r="U11" t="s">
        <v>128</v>
      </c>
      <c r="V11" t="s">
        <v>128</v>
      </c>
      <c r="W11" t="s">
        <v>128</v>
      </c>
      <c r="X11" t="s">
        <v>128</v>
      </c>
      <c r="Y11" t="s">
        <v>128</v>
      </c>
      <c r="Z11" t="s">
        <v>128</v>
      </c>
      <c r="AA11" t="s">
        <v>128</v>
      </c>
      <c r="AB11" t="s">
        <v>128</v>
      </c>
    </row>
    <row r="12" spans="1:28" x14ac:dyDescent="0.3">
      <c r="A12">
        <v>178</v>
      </c>
      <c r="B12" t="s">
        <v>13</v>
      </c>
      <c r="C12">
        <v>32010</v>
      </c>
      <c r="D12">
        <v>33</v>
      </c>
      <c r="E12" t="s">
        <v>4</v>
      </c>
      <c r="F12" t="s">
        <v>1</v>
      </c>
      <c r="G12">
        <v>3</v>
      </c>
      <c r="H12">
        <v>823</v>
      </c>
      <c r="I12">
        <v>384</v>
      </c>
      <c r="J12">
        <f t="shared" si="1"/>
        <v>46.658566221142159</v>
      </c>
      <c r="K12">
        <v>931</v>
      </c>
      <c r="L12">
        <v>527</v>
      </c>
      <c r="M12">
        <v>404</v>
      </c>
      <c r="N12">
        <v>1241</v>
      </c>
      <c r="O12">
        <v>411</v>
      </c>
      <c r="P12">
        <v>85</v>
      </c>
      <c r="Q12">
        <f t="shared" si="2"/>
        <v>133</v>
      </c>
      <c r="R12">
        <f t="shared" si="3"/>
        <v>75.285714285714292</v>
      </c>
      <c r="S12">
        <f t="shared" si="4"/>
        <v>57.714285714285715</v>
      </c>
      <c r="T12">
        <f t="shared" si="5"/>
        <v>177.28571428571428</v>
      </c>
      <c r="U12">
        <f t="shared" si="6"/>
        <v>58.714285714285715</v>
      </c>
      <c r="V12">
        <f t="shared" si="7"/>
        <v>12.142857142857142</v>
      </c>
      <c r="W12">
        <f t="shared" si="8"/>
        <v>34.635416666666671</v>
      </c>
      <c r="X12">
        <f t="shared" si="9"/>
        <v>19.605654761904763</v>
      </c>
      <c r="Y12">
        <f t="shared" si="10"/>
        <v>15.029761904761903</v>
      </c>
      <c r="Z12">
        <f t="shared" si="11"/>
        <v>46.168154761904759</v>
      </c>
      <c r="AA12">
        <f t="shared" si="12"/>
        <v>15.290178571428573</v>
      </c>
      <c r="AB12">
        <f t="shared" si="13"/>
        <v>3.1622023809523809</v>
      </c>
    </row>
    <row r="13" spans="1:28" x14ac:dyDescent="0.3">
      <c r="A13">
        <v>179</v>
      </c>
      <c r="B13" t="s">
        <v>14</v>
      </c>
      <c r="C13">
        <v>32011</v>
      </c>
      <c r="D13">
        <v>28</v>
      </c>
      <c r="E13" t="s">
        <v>15</v>
      </c>
      <c r="F13" t="s">
        <v>1</v>
      </c>
      <c r="G13">
        <v>3</v>
      </c>
      <c r="H13">
        <v>1876</v>
      </c>
      <c r="I13">
        <v>1721</v>
      </c>
      <c r="J13">
        <f t="shared" si="1"/>
        <v>91.737739872068232</v>
      </c>
      <c r="K13">
        <v>543</v>
      </c>
      <c r="L13">
        <v>59</v>
      </c>
      <c r="M13">
        <v>484</v>
      </c>
      <c r="N13">
        <v>3990</v>
      </c>
      <c r="O13">
        <v>5309</v>
      </c>
      <c r="P13">
        <v>2069</v>
      </c>
      <c r="Q13">
        <f t="shared" si="2"/>
        <v>77.571428571428569</v>
      </c>
      <c r="R13">
        <f t="shared" si="3"/>
        <v>8.4285714285714288</v>
      </c>
      <c r="S13">
        <f t="shared" si="4"/>
        <v>69.142857142857139</v>
      </c>
      <c r="T13">
        <f t="shared" si="5"/>
        <v>570</v>
      </c>
      <c r="U13">
        <f t="shared" si="6"/>
        <v>758.42857142857144</v>
      </c>
      <c r="V13">
        <f t="shared" si="7"/>
        <v>295.57142857142856</v>
      </c>
      <c r="W13">
        <f t="shared" si="8"/>
        <v>4.5073462272764999</v>
      </c>
      <c r="X13">
        <f t="shared" si="9"/>
        <v>0.48974848510002489</v>
      </c>
      <c r="Y13">
        <f t="shared" si="10"/>
        <v>4.0175977421764753</v>
      </c>
      <c r="Z13">
        <f t="shared" si="11"/>
        <v>33.120278907611855</v>
      </c>
      <c r="AA13">
        <f t="shared" si="12"/>
        <v>44.069062837220883</v>
      </c>
      <c r="AB13">
        <f t="shared" si="13"/>
        <v>17.174400265626296</v>
      </c>
    </row>
    <row r="14" spans="1:28" x14ac:dyDescent="0.3">
      <c r="A14">
        <v>180</v>
      </c>
      <c r="B14" t="s">
        <v>16</v>
      </c>
      <c r="C14">
        <v>32012</v>
      </c>
      <c r="D14">
        <v>30</v>
      </c>
      <c r="E14" t="s">
        <v>7</v>
      </c>
      <c r="F14" t="s">
        <v>1</v>
      </c>
      <c r="G14">
        <v>3</v>
      </c>
      <c r="H14">
        <v>1405</v>
      </c>
      <c r="I14">
        <v>1338</v>
      </c>
      <c r="J14">
        <f t="shared" si="1"/>
        <v>95.231316725978644</v>
      </c>
      <c r="K14">
        <v>902</v>
      </c>
      <c r="L14">
        <v>501</v>
      </c>
      <c r="M14">
        <v>401</v>
      </c>
      <c r="N14">
        <v>4282</v>
      </c>
      <c r="O14">
        <v>4014</v>
      </c>
      <c r="P14">
        <v>168</v>
      </c>
      <c r="Q14">
        <f t="shared" si="2"/>
        <v>128.85714285714286</v>
      </c>
      <c r="R14">
        <f t="shared" si="3"/>
        <v>71.571428571428569</v>
      </c>
      <c r="S14">
        <f t="shared" si="4"/>
        <v>57.285714285714285</v>
      </c>
      <c r="T14">
        <f t="shared" si="5"/>
        <v>611.71428571428567</v>
      </c>
      <c r="U14">
        <f t="shared" si="6"/>
        <v>573.42857142857144</v>
      </c>
      <c r="V14">
        <f t="shared" si="7"/>
        <v>24</v>
      </c>
      <c r="W14">
        <f t="shared" si="8"/>
        <v>9.6305786888746532</v>
      </c>
      <c r="X14">
        <f t="shared" si="9"/>
        <v>5.3491351697629721</v>
      </c>
      <c r="Y14">
        <f t="shared" si="10"/>
        <v>4.2814435191116811</v>
      </c>
      <c r="Z14">
        <f t="shared" si="11"/>
        <v>45.718556480888317</v>
      </c>
      <c r="AA14">
        <f t="shared" si="12"/>
        <v>42.857142857142861</v>
      </c>
      <c r="AB14">
        <f t="shared" si="13"/>
        <v>1.7937219730941705</v>
      </c>
    </row>
    <row r="15" spans="1:28" x14ac:dyDescent="0.3">
      <c r="A15">
        <v>181</v>
      </c>
      <c r="B15" t="s">
        <v>17</v>
      </c>
      <c r="C15">
        <v>32013</v>
      </c>
      <c r="D15">
        <v>28</v>
      </c>
      <c r="E15" t="s">
        <v>15</v>
      </c>
      <c r="F15" t="s">
        <v>1</v>
      </c>
      <c r="G15">
        <v>3</v>
      </c>
      <c r="H15">
        <v>5061</v>
      </c>
      <c r="I15">
        <v>2383</v>
      </c>
      <c r="J15">
        <f t="shared" si="1"/>
        <v>47.085556214186916</v>
      </c>
      <c r="K15">
        <v>2182</v>
      </c>
      <c r="L15">
        <v>965</v>
      </c>
      <c r="M15">
        <v>1217</v>
      </c>
      <c r="N15">
        <v>9336</v>
      </c>
      <c r="O15">
        <v>5179</v>
      </c>
      <c r="P15">
        <v>431</v>
      </c>
      <c r="Q15">
        <f t="shared" si="2"/>
        <v>311.71428571428572</v>
      </c>
      <c r="R15">
        <f t="shared" si="3"/>
        <v>137.85714285714286</v>
      </c>
      <c r="S15">
        <f t="shared" si="4"/>
        <v>173.85714285714286</v>
      </c>
      <c r="T15">
        <f t="shared" si="5"/>
        <v>1333.7142857142858</v>
      </c>
      <c r="U15">
        <f t="shared" si="6"/>
        <v>739.85714285714289</v>
      </c>
      <c r="V15">
        <f t="shared" si="7"/>
        <v>61.571428571428569</v>
      </c>
      <c r="W15">
        <f t="shared" si="8"/>
        <v>13.08075055452311</v>
      </c>
      <c r="X15">
        <f t="shared" si="9"/>
        <v>5.7850248786043998</v>
      </c>
      <c r="Y15">
        <f t="shared" si="10"/>
        <v>7.2957256759187104</v>
      </c>
      <c r="Z15">
        <f t="shared" si="11"/>
        <v>55.967867633834899</v>
      </c>
      <c r="AA15">
        <f t="shared" si="12"/>
        <v>31.047299322582578</v>
      </c>
      <c r="AB15">
        <f t="shared" si="13"/>
        <v>2.5837779509621726</v>
      </c>
    </row>
    <row r="16" spans="1:28" x14ac:dyDescent="0.3">
      <c r="A16">
        <v>182</v>
      </c>
      <c r="B16" t="s">
        <v>18</v>
      </c>
      <c r="C16">
        <v>32014</v>
      </c>
      <c r="D16">
        <v>29</v>
      </c>
      <c r="E16" t="s">
        <v>19</v>
      </c>
      <c r="F16" t="s">
        <v>1</v>
      </c>
      <c r="G16">
        <v>3</v>
      </c>
      <c r="H16">
        <v>1457</v>
      </c>
      <c r="I16">
        <v>1213</v>
      </c>
      <c r="J16">
        <f t="shared" si="1"/>
        <v>83.253260123541523</v>
      </c>
      <c r="K16">
        <v>0</v>
      </c>
      <c r="L16">
        <v>0</v>
      </c>
      <c r="M16">
        <v>0</v>
      </c>
      <c r="N16">
        <v>6694</v>
      </c>
      <c r="O16">
        <v>1859</v>
      </c>
      <c r="P16">
        <v>148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956.28571428571433</v>
      </c>
      <c r="U16">
        <f t="shared" si="6"/>
        <v>265.57142857142856</v>
      </c>
      <c r="V16">
        <f t="shared" si="7"/>
        <v>21.142857142857142</v>
      </c>
      <c r="W16">
        <f t="shared" si="8"/>
        <v>0</v>
      </c>
      <c r="X16">
        <f t="shared" si="9"/>
        <v>0</v>
      </c>
      <c r="Y16">
        <f t="shared" si="10"/>
        <v>0</v>
      </c>
      <c r="Z16">
        <f t="shared" si="11"/>
        <v>78.836415027676367</v>
      </c>
      <c r="AA16">
        <f t="shared" si="12"/>
        <v>21.893769873984219</v>
      </c>
      <c r="AB16">
        <f t="shared" si="13"/>
        <v>1.7430220233188081</v>
      </c>
    </row>
    <row r="17" spans="1:28" x14ac:dyDescent="0.3">
      <c r="A17">
        <v>183</v>
      </c>
      <c r="B17" t="s">
        <v>20</v>
      </c>
      <c r="C17">
        <v>32015</v>
      </c>
      <c r="D17">
        <v>36</v>
      </c>
      <c r="E17" t="s">
        <v>21</v>
      </c>
      <c r="F17" t="s">
        <v>1</v>
      </c>
      <c r="G17">
        <v>3</v>
      </c>
      <c r="H17">
        <v>2752</v>
      </c>
      <c r="I17">
        <v>1259</v>
      </c>
      <c r="J17">
        <f t="shared" si="1"/>
        <v>45.748546511627907</v>
      </c>
      <c r="K17">
        <v>1323</v>
      </c>
      <c r="L17">
        <v>457</v>
      </c>
      <c r="M17">
        <v>866</v>
      </c>
      <c r="N17">
        <v>3788</v>
      </c>
      <c r="O17">
        <v>2315</v>
      </c>
      <c r="P17">
        <v>1365</v>
      </c>
      <c r="Q17">
        <f t="shared" si="2"/>
        <v>189</v>
      </c>
      <c r="R17">
        <f t="shared" si="3"/>
        <v>65.285714285714292</v>
      </c>
      <c r="S17">
        <f t="shared" si="4"/>
        <v>123.71428571428571</v>
      </c>
      <c r="T17">
        <f t="shared" si="5"/>
        <v>541.14285714285711</v>
      </c>
      <c r="U17">
        <f t="shared" si="6"/>
        <v>330.71428571428572</v>
      </c>
      <c r="V17">
        <f t="shared" si="7"/>
        <v>195</v>
      </c>
      <c r="W17">
        <f t="shared" si="8"/>
        <v>15.011914217633043</v>
      </c>
      <c r="X17">
        <f t="shared" si="9"/>
        <v>5.1855213888573708</v>
      </c>
      <c r="Y17">
        <f t="shared" si="10"/>
        <v>9.8263928287756723</v>
      </c>
      <c r="Z17">
        <f t="shared" si="11"/>
        <v>42.981958470441391</v>
      </c>
      <c r="AA17">
        <f t="shared" si="12"/>
        <v>26.268013162373766</v>
      </c>
      <c r="AB17">
        <f t="shared" si="13"/>
        <v>15.488482922954727</v>
      </c>
    </row>
    <row r="18" spans="1:28" x14ac:dyDescent="0.3">
      <c r="A18">
        <v>184</v>
      </c>
      <c r="B18" t="s">
        <v>22</v>
      </c>
      <c r="C18">
        <v>32016</v>
      </c>
      <c r="D18">
        <v>30</v>
      </c>
      <c r="E18" t="s">
        <v>7</v>
      </c>
      <c r="F18" t="s">
        <v>1</v>
      </c>
      <c r="G18">
        <v>3</v>
      </c>
      <c r="H18">
        <v>1796</v>
      </c>
      <c r="I18">
        <v>1490</v>
      </c>
      <c r="J18">
        <f t="shared" si="1"/>
        <v>82.962138084632514</v>
      </c>
      <c r="K18">
        <v>3844</v>
      </c>
      <c r="L18">
        <v>1396</v>
      </c>
      <c r="M18">
        <v>2448</v>
      </c>
      <c r="N18">
        <v>1144</v>
      </c>
      <c r="O18">
        <v>4417</v>
      </c>
      <c r="P18">
        <v>860</v>
      </c>
      <c r="Q18">
        <f t="shared" si="2"/>
        <v>549.14285714285711</v>
      </c>
      <c r="R18">
        <f t="shared" si="3"/>
        <v>199.42857142857142</v>
      </c>
      <c r="S18">
        <f t="shared" si="4"/>
        <v>349.71428571428572</v>
      </c>
      <c r="T18">
        <f t="shared" si="5"/>
        <v>163.42857142857142</v>
      </c>
      <c r="U18">
        <f t="shared" si="6"/>
        <v>631</v>
      </c>
      <c r="V18">
        <f t="shared" si="7"/>
        <v>122.85714285714286</v>
      </c>
      <c r="W18">
        <f t="shared" si="8"/>
        <v>36.855225311601146</v>
      </c>
      <c r="X18">
        <f t="shared" si="9"/>
        <v>13.384467881112174</v>
      </c>
      <c r="Y18">
        <f t="shared" si="10"/>
        <v>23.470757430488977</v>
      </c>
      <c r="Z18">
        <f t="shared" si="11"/>
        <v>10.968360498561839</v>
      </c>
      <c r="AA18">
        <f t="shared" si="12"/>
        <v>42.348993288590606</v>
      </c>
      <c r="AB18">
        <f t="shared" si="13"/>
        <v>8.2454458293384469</v>
      </c>
    </row>
    <row r="19" spans="1:28" x14ac:dyDescent="0.3">
      <c r="A19">
        <v>185</v>
      </c>
      <c r="B19" t="s">
        <v>23</v>
      </c>
      <c r="C19">
        <v>99008</v>
      </c>
      <c r="D19">
        <v>31</v>
      </c>
      <c r="E19" t="s">
        <v>1</v>
      </c>
      <c r="F19" t="s">
        <v>1</v>
      </c>
      <c r="G19">
        <v>3</v>
      </c>
      <c r="H19">
        <v>4116</v>
      </c>
      <c r="I19">
        <v>2902</v>
      </c>
      <c r="J19">
        <f t="shared" si="1"/>
        <v>70.505344995140916</v>
      </c>
      <c r="K19">
        <v>8292</v>
      </c>
      <c r="L19">
        <v>4680</v>
      </c>
      <c r="M19">
        <v>3612</v>
      </c>
      <c r="N19">
        <v>6169</v>
      </c>
      <c r="O19">
        <v>3812</v>
      </c>
      <c r="P19">
        <v>1424</v>
      </c>
      <c r="Q19">
        <f t="shared" si="2"/>
        <v>1184.5714285714287</v>
      </c>
      <c r="R19">
        <f t="shared" si="3"/>
        <v>668.57142857142856</v>
      </c>
      <c r="S19">
        <f t="shared" si="4"/>
        <v>516</v>
      </c>
      <c r="T19">
        <f t="shared" si="5"/>
        <v>881.28571428571433</v>
      </c>
      <c r="U19">
        <f t="shared" si="6"/>
        <v>544.57142857142856</v>
      </c>
      <c r="V19">
        <f t="shared" si="7"/>
        <v>203.42857142857142</v>
      </c>
      <c r="W19">
        <f t="shared" si="8"/>
        <v>40.819139509697749</v>
      </c>
      <c r="X19">
        <f t="shared" si="9"/>
        <v>23.038298710249087</v>
      </c>
      <c r="Y19">
        <f t="shared" si="10"/>
        <v>17.780840799448654</v>
      </c>
      <c r="Z19">
        <f t="shared" si="11"/>
        <v>30.368218962292016</v>
      </c>
      <c r="AA19">
        <f t="shared" si="12"/>
        <v>18.765383479373831</v>
      </c>
      <c r="AB19">
        <f t="shared" si="13"/>
        <v>7.009943881067243</v>
      </c>
    </row>
    <row r="20" spans="1:28" x14ac:dyDescent="0.3">
      <c r="A20">
        <v>186</v>
      </c>
      <c r="B20" t="s">
        <v>24</v>
      </c>
      <c r="C20">
        <v>32017</v>
      </c>
      <c r="D20">
        <v>34</v>
      </c>
      <c r="E20" t="s">
        <v>12</v>
      </c>
      <c r="F20" t="s">
        <v>1</v>
      </c>
      <c r="G20">
        <v>3</v>
      </c>
      <c r="H20">
        <v>1777</v>
      </c>
      <c r="I20">
        <v>926</v>
      </c>
      <c r="J20">
        <f t="shared" si="1"/>
        <v>52.110298255486775</v>
      </c>
      <c r="K20">
        <v>1033</v>
      </c>
      <c r="L20">
        <v>586</v>
      </c>
      <c r="M20">
        <v>447</v>
      </c>
      <c r="N20">
        <v>1294</v>
      </c>
      <c r="O20">
        <v>2310</v>
      </c>
      <c r="P20">
        <v>1809</v>
      </c>
      <c r="Q20">
        <f t="shared" si="2"/>
        <v>147.57142857142858</v>
      </c>
      <c r="R20">
        <f t="shared" si="3"/>
        <v>83.714285714285708</v>
      </c>
      <c r="S20">
        <f t="shared" si="4"/>
        <v>63.857142857142854</v>
      </c>
      <c r="T20">
        <f t="shared" si="5"/>
        <v>184.85714285714286</v>
      </c>
      <c r="U20">
        <f t="shared" si="6"/>
        <v>330</v>
      </c>
      <c r="V20">
        <f t="shared" si="7"/>
        <v>258.42857142857144</v>
      </c>
      <c r="W20">
        <f t="shared" si="8"/>
        <v>15.936439370564642</v>
      </c>
      <c r="X20">
        <f t="shared" si="9"/>
        <v>9.040419623572971</v>
      </c>
      <c r="Y20">
        <f t="shared" si="10"/>
        <v>6.8960197469916693</v>
      </c>
      <c r="Z20">
        <f t="shared" si="11"/>
        <v>19.962974390620182</v>
      </c>
      <c r="AA20">
        <f t="shared" si="12"/>
        <v>35.637149028077751</v>
      </c>
      <c r="AB20">
        <f t="shared" si="13"/>
        <v>27.908053070040111</v>
      </c>
    </row>
    <row r="21" spans="1:28" x14ac:dyDescent="0.3">
      <c r="A21">
        <v>187</v>
      </c>
      <c r="B21" t="s">
        <v>25</v>
      </c>
      <c r="C21">
        <v>32018</v>
      </c>
      <c r="D21">
        <v>33</v>
      </c>
      <c r="E21" t="s">
        <v>4</v>
      </c>
      <c r="F21" t="s">
        <v>1</v>
      </c>
      <c r="G21">
        <v>3</v>
      </c>
      <c r="H21">
        <v>2215</v>
      </c>
      <c r="I21">
        <v>1050</v>
      </c>
      <c r="J21">
        <f t="shared" si="1"/>
        <v>47.404063205417607</v>
      </c>
      <c r="K21">
        <v>4413</v>
      </c>
      <c r="L21">
        <v>2527</v>
      </c>
      <c r="M21">
        <v>1886</v>
      </c>
      <c r="N21">
        <v>1951</v>
      </c>
      <c r="O21">
        <v>569</v>
      </c>
      <c r="P21">
        <v>31</v>
      </c>
      <c r="Q21">
        <f t="shared" si="2"/>
        <v>630.42857142857144</v>
      </c>
      <c r="R21">
        <f t="shared" si="3"/>
        <v>361</v>
      </c>
      <c r="S21">
        <f t="shared" si="4"/>
        <v>269.42857142857144</v>
      </c>
      <c r="T21">
        <f t="shared" si="5"/>
        <v>278.71428571428572</v>
      </c>
      <c r="U21">
        <f t="shared" si="6"/>
        <v>81.285714285714292</v>
      </c>
      <c r="V21">
        <f t="shared" si="7"/>
        <v>4.4285714285714288</v>
      </c>
      <c r="W21">
        <f t="shared" si="8"/>
        <v>60.04081632653061</v>
      </c>
      <c r="X21">
        <f t="shared" si="9"/>
        <v>34.38095238095238</v>
      </c>
      <c r="Y21">
        <f t="shared" si="10"/>
        <v>25.65986394557823</v>
      </c>
      <c r="Z21">
        <f t="shared" si="11"/>
        <v>26.544217687074827</v>
      </c>
      <c r="AA21">
        <f t="shared" si="12"/>
        <v>7.7414965986394568</v>
      </c>
      <c r="AB21">
        <f t="shared" si="13"/>
        <v>0.42176870748299328</v>
      </c>
    </row>
    <row r="22" spans="1:28" x14ac:dyDescent="0.3">
      <c r="A22">
        <v>188</v>
      </c>
      <c r="B22" t="s">
        <v>15</v>
      </c>
      <c r="C22">
        <v>32019</v>
      </c>
      <c r="D22">
        <v>28</v>
      </c>
      <c r="E22" t="s">
        <v>15</v>
      </c>
      <c r="F22" t="s">
        <v>1</v>
      </c>
      <c r="G22">
        <v>3</v>
      </c>
      <c r="H22">
        <v>6572</v>
      </c>
      <c r="I22">
        <v>3416</v>
      </c>
      <c r="J22">
        <f t="shared" si="1"/>
        <v>51.978088861838103</v>
      </c>
      <c r="K22">
        <v>4997</v>
      </c>
      <c r="L22">
        <v>2659</v>
      </c>
      <c r="M22">
        <v>2338</v>
      </c>
      <c r="N22">
        <v>11187</v>
      </c>
      <c r="O22">
        <v>7453</v>
      </c>
      <c r="P22">
        <v>141</v>
      </c>
      <c r="Q22">
        <f t="shared" si="2"/>
        <v>713.85714285714289</v>
      </c>
      <c r="R22">
        <f t="shared" si="3"/>
        <v>379.85714285714283</v>
      </c>
      <c r="S22">
        <f t="shared" si="4"/>
        <v>334</v>
      </c>
      <c r="T22">
        <f t="shared" si="5"/>
        <v>1598.1428571428571</v>
      </c>
      <c r="U22">
        <f t="shared" si="6"/>
        <v>1064.7142857142858</v>
      </c>
      <c r="V22">
        <f t="shared" si="7"/>
        <v>20.142857142857142</v>
      </c>
      <c r="W22">
        <f t="shared" si="8"/>
        <v>20.897457343593175</v>
      </c>
      <c r="X22">
        <f t="shared" si="9"/>
        <v>11.119939779190364</v>
      </c>
      <c r="Y22">
        <f t="shared" si="10"/>
        <v>9.7775175644028103</v>
      </c>
      <c r="Z22">
        <f t="shared" si="11"/>
        <v>46.784041485446636</v>
      </c>
      <c r="AA22">
        <f t="shared" si="12"/>
        <v>31.168450986952163</v>
      </c>
      <c r="AB22">
        <f t="shared" si="13"/>
        <v>0.58966209434593508</v>
      </c>
    </row>
    <row r="23" spans="1:28" x14ac:dyDescent="0.3">
      <c r="A23">
        <v>189</v>
      </c>
      <c r="B23" t="s">
        <v>26</v>
      </c>
      <c r="C23">
        <v>32020</v>
      </c>
      <c r="D23">
        <v>29</v>
      </c>
      <c r="E23" t="s">
        <v>19</v>
      </c>
      <c r="F23" t="s">
        <v>1</v>
      </c>
      <c r="G23">
        <v>3</v>
      </c>
      <c r="H23">
        <v>4217</v>
      </c>
      <c r="I23">
        <v>2524</v>
      </c>
      <c r="J23">
        <f t="shared" si="1"/>
        <v>59.85297604932417</v>
      </c>
      <c r="K23">
        <v>320</v>
      </c>
      <c r="L23">
        <v>210</v>
      </c>
      <c r="M23">
        <v>110</v>
      </c>
      <c r="N23">
        <v>8184</v>
      </c>
      <c r="O23">
        <v>7371</v>
      </c>
      <c r="P23">
        <v>939</v>
      </c>
      <c r="Q23">
        <f t="shared" si="2"/>
        <v>45.714285714285715</v>
      </c>
      <c r="R23">
        <f t="shared" si="3"/>
        <v>30</v>
      </c>
      <c r="S23">
        <f t="shared" si="4"/>
        <v>15.714285714285714</v>
      </c>
      <c r="T23">
        <f t="shared" si="5"/>
        <v>1169.1428571428571</v>
      </c>
      <c r="U23">
        <f t="shared" si="6"/>
        <v>1053</v>
      </c>
      <c r="V23">
        <f t="shared" si="7"/>
        <v>134.14285714285714</v>
      </c>
      <c r="W23">
        <f t="shared" si="8"/>
        <v>1.8111840615802579</v>
      </c>
      <c r="X23">
        <f t="shared" si="9"/>
        <v>1.1885895404120443</v>
      </c>
      <c r="Y23">
        <f t="shared" si="10"/>
        <v>0.62259452116821368</v>
      </c>
      <c r="Z23">
        <f t="shared" si="11"/>
        <v>46.321032374915099</v>
      </c>
      <c r="AA23">
        <f t="shared" si="12"/>
        <v>41.719492868462758</v>
      </c>
      <c r="AB23">
        <f t="shared" si="13"/>
        <v>5.3146932306995698</v>
      </c>
    </row>
    <row r="24" spans="1:28" x14ac:dyDescent="0.3">
      <c r="A24">
        <v>190</v>
      </c>
      <c r="B24" t="s">
        <v>27</v>
      </c>
      <c r="C24">
        <v>32022</v>
      </c>
      <c r="D24">
        <v>33</v>
      </c>
      <c r="E24" t="s">
        <v>4</v>
      </c>
      <c r="F24" t="s">
        <v>1</v>
      </c>
      <c r="G24">
        <v>3</v>
      </c>
      <c r="H24">
        <v>2763</v>
      </c>
      <c r="I24">
        <v>2103</v>
      </c>
      <c r="J24">
        <f t="shared" si="1"/>
        <v>76.112920738327901</v>
      </c>
      <c r="K24">
        <v>714</v>
      </c>
      <c r="L24">
        <v>380</v>
      </c>
      <c r="M24">
        <v>334</v>
      </c>
      <c r="N24">
        <v>12188</v>
      </c>
      <c r="O24">
        <v>1911</v>
      </c>
      <c r="P24">
        <v>0</v>
      </c>
      <c r="Q24">
        <f t="shared" si="2"/>
        <v>102</v>
      </c>
      <c r="R24">
        <f t="shared" si="3"/>
        <v>54.285714285714285</v>
      </c>
      <c r="S24">
        <f t="shared" si="4"/>
        <v>47.714285714285715</v>
      </c>
      <c r="T24">
        <f t="shared" si="5"/>
        <v>1741.1428571428571</v>
      </c>
      <c r="U24">
        <f t="shared" si="6"/>
        <v>273</v>
      </c>
      <c r="V24">
        <f t="shared" si="7"/>
        <v>0</v>
      </c>
      <c r="W24">
        <f t="shared" si="8"/>
        <v>4.8502139800285313</v>
      </c>
      <c r="X24">
        <f t="shared" si="9"/>
        <v>2.5813463759255484</v>
      </c>
      <c r="Y24">
        <f t="shared" si="10"/>
        <v>2.2688676041029825</v>
      </c>
      <c r="Z24">
        <f t="shared" si="11"/>
        <v>82.793288499422587</v>
      </c>
      <c r="AA24">
        <f t="shared" si="12"/>
        <v>12.981455064194009</v>
      </c>
      <c r="AB24">
        <f t="shared" si="13"/>
        <v>0</v>
      </c>
    </row>
    <row r="25" spans="1:28" x14ac:dyDescent="0.3">
      <c r="A25">
        <v>191</v>
      </c>
      <c r="B25" t="s">
        <v>28</v>
      </c>
      <c r="C25">
        <v>32021</v>
      </c>
      <c r="D25">
        <v>35</v>
      </c>
      <c r="E25" t="s">
        <v>29</v>
      </c>
      <c r="F25" t="s">
        <v>1</v>
      </c>
      <c r="G25">
        <v>3</v>
      </c>
      <c r="H25">
        <v>1347</v>
      </c>
      <c r="I25">
        <v>1283</v>
      </c>
      <c r="J25">
        <f t="shared" si="1"/>
        <v>95.248700816629551</v>
      </c>
      <c r="K25">
        <v>0</v>
      </c>
      <c r="L25">
        <v>0</v>
      </c>
      <c r="M25">
        <v>0</v>
      </c>
      <c r="N25">
        <v>4395</v>
      </c>
      <c r="O25">
        <v>3646</v>
      </c>
      <c r="P25">
        <v>940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627.85714285714289</v>
      </c>
      <c r="U25">
        <f t="shared" si="6"/>
        <v>520.85714285714289</v>
      </c>
      <c r="V25">
        <f t="shared" si="7"/>
        <v>134.28571428571428</v>
      </c>
      <c r="W25">
        <f t="shared" si="8"/>
        <v>0</v>
      </c>
      <c r="X25">
        <f t="shared" si="9"/>
        <v>0</v>
      </c>
      <c r="Y25">
        <f t="shared" si="10"/>
        <v>0</v>
      </c>
      <c r="Z25">
        <f t="shared" si="11"/>
        <v>48.936644026277698</v>
      </c>
      <c r="AA25">
        <f t="shared" si="12"/>
        <v>40.596815499387603</v>
      </c>
      <c r="AB25">
        <f t="shared" si="13"/>
        <v>10.466540474334705</v>
      </c>
    </row>
    <row r="26" spans="1:28" x14ac:dyDescent="0.3">
      <c r="A26">
        <v>192</v>
      </c>
      <c r="B26" t="s">
        <v>30</v>
      </c>
      <c r="C26">
        <v>32023</v>
      </c>
      <c r="D26">
        <v>32</v>
      </c>
      <c r="E26" t="s">
        <v>31</v>
      </c>
      <c r="F26" t="s">
        <v>1</v>
      </c>
      <c r="G26">
        <v>3</v>
      </c>
      <c r="H26">
        <v>3741</v>
      </c>
      <c r="I26">
        <v>3220</v>
      </c>
      <c r="J26">
        <f t="shared" si="1"/>
        <v>86.073242448543169</v>
      </c>
      <c r="K26">
        <v>5038</v>
      </c>
      <c r="L26">
        <v>881</v>
      </c>
      <c r="M26">
        <v>4157</v>
      </c>
      <c r="N26">
        <v>5650</v>
      </c>
      <c r="O26">
        <v>9820</v>
      </c>
      <c r="P26">
        <v>1800</v>
      </c>
      <c r="Q26">
        <f t="shared" si="2"/>
        <v>719.71428571428567</v>
      </c>
      <c r="R26">
        <f t="shared" si="3"/>
        <v>125.85714285714286</v>
      </c>
      <c r="S26">
        <f t="shared" si="4"/>
        <v>593.85714285714289</v>
      </c>
      <c r="T26">
        <f t="shared" si="5"/>
        <v>807.14285714285711</v>
      </c>
      <c r="U26">
        <f t="shared" si="6"/>
        <v>1402.8571428571429</v>
      </c>
      <c r="V26">
        <f t="shared" si="7"/>
        <v>257.14285714285717</v>
      </c>
      <c r="W26">
        <f t="shared" si="8"/>
        <v>22.351375332741792</v>
      </c>
      <c r="X26">
        <f t="shared" si="9"/>
        <v>3.9086069210292811</v>
      </c>
      <c r="Y26">
        <f t="shared" si="10"/>
        <v>18.442768411712514</v>
      </c>
      <c r="Z26">
        <f t="shared" si="11"/>
        <v>25.066548358473824</v>
      </c>
      <c r="AA26">
        <f t="shared" si="12"/>
        <v>43.566992014196984</v>
      </c>
      <c r="AB26">
        <f t="shared" si="13"/>
        <v>7.9858030168589185</v>
      </c>
    </row>
    <row r="27" spans="1:28" x14ac:dyDescent="0.3">
      <c r="A27">
        <v>193</v>
      </c>
      <c r="B27" t="s">
        <v>32</v>
      </c>
      <c r="C27">
        <v>32076</v>
      </c>
      <c r="D27">
        <v>28</v>
      </c>
      <c r="E27" t="s">
        <v>15</v>
      </c>
      <c r="F27" t="s">
        <v>1</v>
      </c>
      <c r="G27">
        <v>3</v>
      </c>
      <c r="H27">
        <v>4181</v>
      </c>
      <c r="I27">
        <v>3945</v>
      </c>
      <c r="J27">
        <f t="shared" si="1"/>
        <v>94.355417364266927</v>
      </c>
      <c r="K27">
        <v>3657</v>
      </c>
      <c r="L27">
        <v>1348</v>
      </c>
      <c r="M27">
        <v>2309</v>
      </c>
      <c r="N27">
        <v>12839</v>
      </c>
      <c r="O27">
        <v>7912</v>
      </c>
      <c r="P27">
        <v>3161</v>
      </c>
      <c r="Q27">
        <f t="shared" si="2"/>
        <v>522.42857142857144</v>
      </c>
      <c r="R27">
        <f t="shared" si="3"/>
        <v>192.57142857142858</v>
      </c>
      <c r="S27">
        <f t="shared" si="4"/>
        <v>329.85714285714283</v>
      </c>
      <c r="T27">
        <f t="shared" si="5"/>
        <v>1834.1428571428571</v>
      </c>
      <c r="U27">
        <f t="shared" si="6"/>
        <v>1130.2857142857142</v>
      </c>
      <c r="V27">
        <f t="shared" si="7"/>
        <v>451.57142857142856</v>
      </c>
      <c r="W27">
        <f t="shared" si="8"/>
        <v>13.242802824551875</v>
      </c>
      <c r="X27">
        <f t="shared" si="9"/>
        <v>4.8814050334962893</v>
      </c>
      <c r="Y27">
        <f t="shared" si="10"/>
        <v>8.3613977910555839</v>
      </c>
      <c r="Z27">
        <f t="shared" si="11"/>
        <v>46.492848089806266</v>
      </c>
      <c r="AA27">
        <f t="shared" si="12"/>
        <v>28.651095419156253</v>
      </c>
      <c r="AB27">
        <f t="shared" si="13"/>
        <v>11.446677530327721</v>
      </c>
    </row>
    <row r="28" spans="1:28" x14ac:dyDescent="0.3">
      <c r="A28">
        <v>194</v>
      </c>
      <c r="B28" t="s">
        <v>19</v>
      </c>
      <c r="C28">
        <v>32024</v>
      </c>
      <c r="D28">
        <v>29</v>
      </c>
      <c r="E28" t="s">
        <v>19</v>
      </c>
      <c r="F28" t="s">
        <v>1</v>
      </c>
      <c r="G28">
        <v>3</v>
      </c>
      <c r="H28">
        <v>3661</v>
      </c>
      <c r="I28">
        <v>2259</v>
      </c>
      <c r="J28">
        <f t="shared" si="1"/>
        <v>61.704452335427483</v>
      </c>
      <c r="K28">
        <v>2657</v>
      </c>
      <c r="L28">
        <v>1560</v>
      </c>
      <c r="M28">
        <v>1097</v>
      </c>
      <c r="N28">
        <v>8494</v>
      </c>
      <c r="O28">
        <v>2983</v>
      </c>
      <c r="P28">
        <v>293</v>
      </c>
      <c r="Q28">
        <f t="shared" si="2"/>
        <v>379.57142857142856</v>
      </c>
      <c r="R28">
        <f t="shared" si="3"/>
        <v>222.85714285714286</v>
      </c>
      <c r="S28">
        <f t="shared" si="4"/>
        <v>156.71428571428572</v>
      </c>
      <c r="T28">
        <f t="shared" si="5"/>
        <v>1213.4285714285713</v>
      </c>
      <c r="U28">
        <f t="shared" si="6"/>
        <v>426.14285714285717</v>
      </c>
      <c r="V28">
        <f t="shared" si="7"/>
        <v>41.857142857142854</v>
      </c>
      <c r="W28">
        <f t="shared" si="8"/>
        <v>16.802630746853854</v>
      </c>
      <c r="X28">
        <f t="shared" si="9"/>
        <v>9.865300701954089</v>
      </c>
      <c r="Y28">
        <f t="shared" si="10"/>
        <v>6.9373300448997659</v>
      </c>
      <c r="Z28">
        <f t="shared" si="11"/>
        <v>53.71529753999873</v>
      </c>
      <c r="AA28">
        <f t="shared" si="12"/>
        <v>18.864225637134005</v>
      </c>
      <c r="AB28">
        <f t="shared" si="13"/>
        <v>1.8529058369695821</v>
      </c>
    </row>
    <row r="29" spans="1:28" x14ac:dyDescent="0.3">
      <c r="A29">
        <v>195</v>
      </c>
      <c r="B29" t="s">
        <v>33</v>
      </c>
      <c r="C29">
        <v>32025</v>
      </c>
      <c r="D29">
        <v>33</v>
      </c>
      <c r="E29" t="s">
        <v>4</v>
      </c>
      <c r="F29" t="s">
        <v>1</v>
      </c>
      <c r="G29">
        <v>3</v>
      </c>
      <c r="H29">
        <v>2770</v>
      </c>
      <c r="I29">
        <v>1784</v>
      </c>
      <c r="J29">
        <f t="shared" si="1"/>
        <v>64.404332129963905</v>
      </c>
      <c r="K29">
        <v>1167</v>
      </c>
      <c r="L29">
        <v>1017</v>
      </c>
      <c r="M29">
        <v>150</v>
      </c>
      <c r="N29">
        <v>3911</v>
      </c>
      <c r="O29">
        <v>5038</v>
      </c>
      <c r="P29">
        <v>2304</v>
      </c>
      <c r="Q29">
        <f t="shared" si="2"/>
        <v>166.71428571428572</v>
      </c>
      <c r="R29">
        <f t="shared" si="3"/>
        <v>145.28571428571428</v>
      </c>
      <c r="S29">
        <f t="shared" si="4"/>
        <v>21.428571428571427</v>
      </c>
      <c r="T29">
        <f t="shared" si="5"/>
        <v>558.71428571428567</v>
      </c>
      <c r="U29">
        <f t="shared" si="6"/>
        <v>719.71428571428567</v>
      </c>
      <c r="V29">
        <f t="shared" si="7"/>
        <v>329.14285714285717</v>
      </c>
      <c r="W29">
        <f t="shared" si="8"/>
        <v>9.3449711723254314</v>
      </c>
      <c r="X29">
        <f t="shared" si="9"/>
        <v>8.1438180653427281</v>
      </c>
      <c r="Y29">
        <f t="shared" si="10"/>
        <v>1.2011531069827033</v>
      </c>
      <c r="Z29">
        <f t="shared" si="11"/>
        <v>31.318065342729017</v>
      </c>
      <c r="AA29">
        <f t="shared" si="12"/>
        <v>40.342729019859064</v>
      </c>
      <c r="AB29">
        <f t="shared" si="13"/>
        <v>18.449711723254325</v>
      </c>
    </row>
    <row r="30" spans="1:28" x14ac:dyDescent="0.3">
      <c r="A30">
        <v>196</v>
      </c>
      <c r="B30" t="s">
        <v>34</v>
      </c>
      <c r="C30">
        <v>32029</v>
      </c>
      <c r="D30">
        <v>32</v>
      </c>
      <c r="E30" t="s">
        <v>31</v>
      </c>
      <c r="F30" t="s">
        <v>1</v>
      </c>
      <c r="G30">
        <v>3</v>
      </c>
      <c r="H30">
        <v>2068</v>
      </c>
      <c r="I30">
        <v>1787</v>
      </c>
      <c r="J30">
        <f t="shared" si="1"/>
        <v>86.411992263056092</v>
      </c>
      <c r="K30">
        <v>20</v>
      </c>
      <c r="L30">
        <v>0</v>
      </c>
      <c r="M30">
        <v>20</v>
      </c>
      <c r="N30">
        <v>7847</v>
      </c>
      <c r="O30">
        <v>3734</v>
      </c>
      <c r="P30">
        <v>1195</v>
      </c>
      <c r="Q30">
        <f t="shared" si="2"/>
        <v>2.8571428571428572</v>
      </c>
      <c r="R30">
        <f t="shared" si="3"/>
        <v>0</v>
      </c>
      <c r="S30">
        <f t="shared" si="4"/>
        <v>2.8571428571428572</v>
      </c>
      <c r="T30">
        <f t="shared" si="5"/>
        <v>1121</v>
      </c>
      <c r="U30">
        <f t="shared" si="6"/>
        <v>533.42857142857144</v>
      </c>
      <c r="V30">
        <f t="shared" si="7"/>
        <v>170.71428571428572</v>
      </c>
      <c r="W30">
        <f t="shared" si="8"/>
        <v>0.15988488288432329</v>
      </c>
      <c r="X30">
        <f t="shared" si="9"/>
        <v>0</v>
      </c>
      <c r="Y30">
        <f t="shared" si="10"/>
        <v>0.15988488288432329</v>
      </c>
      <c r="Z30">
        <f t="shared" si="11"/>
        <v>62.730833799664239</v>
      </c>
      <c r="AA30">
        <f t="shared" si="12"/>
        <v>29.85050763450316</v>
      </c>
      <c r="AB30">
        <f t="shared" si="13"/>
        <v>9.553121752338317</v>
      </c>
    </row>
    <row r="31" spans="1:28" x14ac:dyDescent="0.3">
      <c r="A31">
        <v>197</v>
      </c>
      <c r="B31" t="s">
        <v>35</v>
      </c>
      <c r="C31">
        <v>32026</v>
      </c>
      <c r="D31">
        <v>31</v>
      </c>
      <c r="E31" t="s">
        <v>1</v>
      </c>
      <c r="F31" t="s">
        <v>1</v>
      </c>
      <c r="G31">
        <v>3</v>
      </c>
      <c r="H31">
        <v>2307</v>
      </c>
      <c r="I31">
        <v>1411</v>
      </c>
      <c r="J31">
        <f t="shared" si="1"/>
        <v>61.161681837884693</v>
      </c>
      <c r="K31">
        <v>5237</v>
      </c>
      <c r="L31">
        <v>2952</v>
      </c>
      <c r="M31">
        <v>2285</v>
      </c>
      <c r="N31">
        <v>3262</v>
      </c>
      <c r="O31">
        <v>1010</v>
      </c>
      <c r="P31">
        <v>262</v>
      </c>
      <c r="Q31">
        <f t="shared" si="2"/>
        <v>748.14285714285711</v>
      </c>
      <c r="R31">
        <f t="shared" si="3"/>
        <v>421.71428571428572</v>
      </c>
      <c r="S31">
        <f t="shared" si="4"/>
        <v>326.42857142857144</v>
      </c>
      <c r="T31">
        <f t="shared" si="5"/>
        <v>466</v>
      </c>
      <c r="U31">
        <f t="shared" si="6"/>
        <v>144.28571428571428</v>
      </c>
      <c r="V31">
        <f t="shared" si="7"/>
        <v>37.428571428571431</v>
      </c>
      <c r="W31">
        <f t="shared" si="8"/>
        <v>53.022172724511485</v>
      </c>
      <c r="X31">
        <f t="shared" si="9"/>
        <v>29.887617697681485</v>
      </c>
      <c r="Y31">
        <f t="shared" si="10"/>
        <v>23.134555026830011</v>
      </c>
      <c r="Z31">
        <f t="shared" si="11"/>
        <v>33.026222537207659</v>
      </c>
      <c r="AA31">
        <f t="shared" si="12"/>
        <v>10.225777057811076</v>
      </c>
      <c r="AB31">
        <f t="shared" si="13"/>
        <v>2.6526273159866358</v>
      </c>
    </row>
    <row r="32" spans="1:28" x14ac:dyDescent="0.3">
      <c r="A32">
        <v>198</v>
      </c>
      <c r="B32" t="s">
        <v>36</v>
      </c>
      <c r="C32">
        <v>32027</v>
      </c>
      <c r="D32">
        <v>29</v>
      </c>
      <c r="E32" t="s">
        <v>19</v>
      </c>
      <c r="F32" t="s">
        <v>1</v>
      </c>
      <c r="G32">
        <v>3</v>
      </c>
      <c r="H32">
        <v>2169</v>
      </c>
      <c r="I32">
        <v>1617</v>
      </c>
      <c r="J32">
        <f t="shared" si="1"/>
        <v>74.550484094052564</v>
      </c>
      <c r="K32">
        <v>87</v>
      </c>
      <c r="L32">
        <v>33</v>
      </c>
      <c r="M32">
        <v>54</v>
      </c>
      <c r="N32">
        <v>6283</v>
      </c>
      <c r="O32">
        <v>3521</v>
      </c>
      <c r="P32">
        <v>1326</v>
      </c>
      <c r="Q32">
        <f t="shared" si="2"/>
        <v>12.428571428571429</v>
      </c>
      <c r="R32">
        <f t="shared" si="3"/>
        <v>4.7142857142857144</v>
      </c>
      <c r="S32">
        <f t="shared" si="4"/>
        <v>7.7142857142857144</v>
      </c>
      <c r="T32">
        <f t="shared" si="5"/>
        <v>897.57142857142856</v>
      </c>
      <c r="U32">
        <f t="shared" si="6"/>
        <v>503</v>
      </c>
      <c r="V32">
        <f t="shared" si="7"/>
        <v>189.42857142857142</v>
      </c>
      <c r="W32">
        <f t="shared" si="8"/>
        <v>0.76861913596607478</v>
      </c>
      <c r="X32">
        <f t="shared" si="9"/>
        <v>0.29154518950437319</v>
      </c>
      <c r="Y32">
        <f t="shared" si="10"/>
        <v>0.47707394646170154</v>
      </c>
      <c r="Z32">
        <f t="shared" si="11"/>
        <v>55.508437141090205</v>
      </c>
      <c r="AA32">
        <f t="shared" si="12"/>
        <v>31.10698824984539</v>
      </c>
      <c r="AB32">
        <f t="shared" si="13"/>
        <v>11.714815796448448</v>
      </c>
    </row>
    <row r="33" spans="1:28" x14ac:dyDescent="0.3">
      <c r="A33">
        <v>199</v>
      </c>
      <c r="B33" t="s">
        <v>37</v>
      </c>
      <c r="C33">
        <v>32028</v>
      </c>
      <c r="D33">
        <v>35</v>
      </c>
      <c r="E33" t="s">
        <v>29</v>
      </c>
      <c r="F33" t="s">
        <v>1</v>
      </c>
      <c r="G33">
        <v>3</v>
      </c>
      <c r="H33">
        <v>3046</v>
      </c>
      <c r="I33">
        <v>2703</v>
      </c>
      <c r="J33">
        <f t="shared" si="1"/>
        <v>88.739330269205524</v>
      </c>
      <c r="K33">
        <v>0</v>
      </c>
      <c r="L33">
        <v>0</v>
      </c>
      <c r="M33">
        <v>0</v>
      </c>
      <c r="N33">
        <v>10433</v>
      </c>
      <c r="O33">
        <v>5888</v>
      </c>
      <c r="P33">
        <v>2600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1490.4285714285713</v>
      </c>
      <c r="U33">
        <f t="shared" si="6"/>
        <v>841.14285714285711</v>
      </c>
      <c r="V33">
        <f t="shared" si="7"/>
        <v>371.42857142857144</v>
      </c>
      <c r="W33">
        <f t="shared" si="8"/>
        <v>0</v>
      </c>
      <c r="X33">
        <f t="shared" si="9"/>
        <v>0</v>
      </c>
      <c r="Y33">
        <f t="shared" si="10"/>
        <v>0</v>
      </c>
      <c r="Z33">
        <f t="shared" si="11"/>
        <v>55.139791765762901</v>
      </c>
      <c r="AA33">
        <f t="shared" si="12"/>
        <v>31.118862639395378</v>
      </c>
      <c r="AB33">
        <f t="shared" si="13"/>
        <v>13.741345594841711</v>
      </c>
    </row>
    <row r="34" spans="1:28" x14ac:dyDescent="0.3">
      <c r="A34">
        <v>200</v>
      </c>
      <c r="B34" t="s">
        <v>38</v>
      </c>
      <c r="C34">
        <v>32030</v>
      </c>
      <c r="D34">
        <v>27</v>
      </c>
      <c r="E34" t="s">
        <v>8</v>
      </c>
      <c r="F34" t="s">
        <v>1</v>
      </c>
      <c r="G34">
        <v>3</v>
      </c>
      <c r="H34">
        <v>2129</v>
      </c>
      <c r="I34">
        <v>1119</v>
      </c>
      <c r="J34">
        <f t="shared" si="1"/>
        <v>52.559887271019257</v>
      </c>
      <c r="K34">
        <v>2969</v>
      </c>
      <c r="L34">
        <v>1675</v>
      </c>
      <c r="M34">
        <v>1294</v>
      </c>
      <c r="N34">
        <v>2284</v>
      </c>
      <c r="O34">
        <v>1209</v>
      </c>
      <c r="P34">
        <v>1410</v>
      </c>
      <c r="Q34">
        <f t="shared" si="2"/>
        <v>424.14285714285717</v>
      </c>
      <c r="R34">
        <f t="shared" si="3"/>
        <v>239.28571428571428</v>
      </c>
      <c r="S34">
        <f t="shared" si="4"/>
        <v>184.85714285714286</v>
      </c>
      <c r="T34">
        <f t="shared" si="5"/>
        <v>326.28571428571428</v>
      </c>
      <c r="U34">
        <f t="shared" si="6"/>
        <v>172.71428571428572</v>
      </c>
      <c r="V34">
        <f t="shared" si="7"/>
        <v>201.42857142857142</v>
      </c>
      <c r="W34">
        <f t="shared" si="8"/>
        <v>37.903740584705737</v>
      </c>
      <c r="X34">
        <f t="shared" si="9"/>
        <v>21.383888676113877</v>
      </c>
      <c r="Y34">
        <f t="shared" si="10"/>
        <v>16.519851908591857</v>
      </c>
      <c r="Z34">
        <f t="shared" si="11"/>
        <v>29.158687603727817</v>
      </c>
      <c r="AA34">
        <f t="shared" si="12"/>
        <v>15.434699348908465</v>
      </c>
      <c r="AB34">
        <f t="shared" si="13"/>
        <v>18.00076599004213</v>
      </c>
    </row>
    <row r="35" spans="1:28" x14ac:dyDescent="0.3">
      <c r="A35">
        <v>201</v>
      </c>
      <c r="B35" t="s">
        <v>39</v>
      </c>
      <c r="C35">
        <v>32031</v>
      </c>
      <c r="D35">
        <v>31</v>
      </c>
      <c r="E35" t="s">
        <v>1</v>
      </c>
      <c r="F35" t="s">
        <v>1</v>
      </c>
      <c r="G35">
        <v>3</v>
      </c>
      <c r="H35">
        <v>1924</v>
      </c>
      <c r="I35">
        <v>1736</v>
      </c>
      <c r="J35">
        <f t="shared" si="1"/>
        <v>90.22869022869024</v>
      </c>
      <c r="K35">
        <v>1000</v>
      </c>
      <c r="L35">
        <v>458</v>
      </c>
      <c r="M35">
        <v>542</v>
      </c>
      <c r="N35">
        <v>5903</v>
      </c>
      <c r="O35">
        <v>3443</v>
      </c>
      <c r="P35">
        <v>1891</v>
      </c>
      <c r="Q35">
        <f t="shared" si="2"/>
        <v>142.85714285714286</v>
      </c>
      <c r="R35">
        <f t="shared" si="3"/>
        <v>65.428571428571431</v>
      </c>
      <c r="S35">
        <f t="shared" si="4"/>
        <v>77.428571428571431</v>
      </c>
      <c r="T35">
        <f t="shared" si="5"/>
        <v>843.28571428571433</v>
      </c>
      <c r="U35">
        <f t="shared" si="6"/>
        <v>491.85714285714283</v>
      </c>
      <c r="V35">
        <f t="shared" si="7"/>
        <v>270.14285714285717</v>
      </c>
      <c r="W35">
        <f t="shared" si="8"/>
        <v>8.2290980908492433</v>
      </c>
      <c r="X35">
        <f t="shared" si="9"/>
        <v>3.7689269256089535</v>
      </c>
      <c r="Y35">
        <f t="shared" si="10"/>
        <v>4.4601711652402898</v>
      </c>
      <c r="Z35">
        <f t="shared" si="11"/>
        <v>48.576366030283083</v>
      </c>
      <c r="AA35">
        <f t="shared" si="12"/>
        <v>28.332784726793943</v>
      </c>
      <c r="AB35">
        <f t="shared" si="13"/>
        <v>15.561224489795919</v>
      </c>
    </row>
    <row r="36" spans="1:28" x14ac:dyDescent="0.3">
      <c r="A36">
        <v>202</v>
      </c>
      <c r="B36" t="s">
        <v>40</v>
      </c>
      <c r="C36">
        <v>99009</v>
      </c>
      <c r="D36">
        <v>29</v>
      </c>
      <c r="E36" t="s">
        <v>19</v>
      </c>
      <c r="F36" t="s">
        <v>1</v>
      </c>
      <c r="G36">
        <v>3</v>
      </c>
      <c r="H36" t="s">
        <v>128</v>
      </c>
      <c r="I36" t="s">
        <v>128</v>
      </c>
      <c r="J36" t="s">
        <v>128</v>
      </c>
      <c r="K36" t="s">
        <v>128</v>
      </c>
      <c r="L36" t="s">
        <v>128</v>
      </c>
      <c r="M36" t="s">
        <v>128</v>
      </c>
      <c r="N36" t="s">
        <v>128</v>
      </c>
      <c r="O36" t="s">
        <v>128</v>
      </c>
      <c r="P36" t="s">
        <v>128</v>
      </c>
      <c r="Q36" t="s">
        <v>128</v>
      </c>
      <c r="R36" t="s">
        <v>128</v>
      </c>
      <c r="S36" t="s">
        <v>128</v>
      </c>
      <c r="T36" t="s">
        <v>128</v>
      </c>
      <c r="U36" t="s">
        <v>128</v>
      </c>
      <c r="V36" t="s">
        <v>128</v>
      </c>
      <c r="W36" t="s">
        <v>128</v>
      </c>
      <c r="X36" t="s">
        <v>128</v>
      </c>
      <c r="Y36" t="s">
        <v>128</v>
      </c>
      <c r="Z36" t="s">
        <v>128</v>
      </c>
      <c r="AA36" t="s">
        <v>128</v>
      </c>
      <c r="AB36" t="s">
        <v>128</v>
      </c>
    </row>
    <row r="37" spans="1:28" x14ac:dyDescent="0.3">
      <c r="A37">
        <v>203</v>
      </c>
      <c r="B37" t="s">
        <v>7</v>
      </c>
      <c r="C37">
        <v>32032</v>
      </c>
      <c r="D37">
        <v>30</v>
      </c>
      <c r="E37" t="s">
        <v>7</v>
      </c>
      <c r="F37" t="s">
        <v>1</v>
      </c>
      <c r="G37">
        <v>3</v>
      </c>
      <c r="H37">
        <v>5118</v>
      </c>
      <c r="I37">
        <v>2491</v>
      </c>
      <c r="J37">
        <f t="shared" si="1"/>
        <v>48.671355998436887</v>
      </c>
      <c r="K37">
        <v>852</v>
      </c>
      <c r="L37">
        <v>365</v>
      </c>
      <c r="M37">
        <v>487</v>
      </c>
      <c r="N37">
        <v>11249</v>
      </c>
      <c r="O37">
        <v>3240</v>
      </c>
      <c r="P37">
        <v>1897</v>
      </c>
      <c r="Q37">
        <f t="shared" si="2"/>
        <v>121.71428571428571</v>
      </c>
      <c r="R37">
        <f t="shared" si="3"/>
        <v>52.142857142857146</v>
      </c>
      <c r="S37">
        <f t="shared" si="4"/>
        <v>69.571428571428569</v>
      </c>
      <c r="T37">
        <f t="shared" si="5"/>
        <v>1607</v>
      </c>
      <c r="U37">
        <f t="shared" si="6"/>
        <v>462.85714285714283</v>
      </c>
      <c r="V37">
        <f t="shared" si="7"/>
        <v>271</v>
      </c>
      <c r="W37">
        <f t="shared" si="8"/>
        <v>4.886161610368756</v>
      </c>
      <c r="X37">
        <f t="shared" si="9"/>
        <v>2.0932499856626716</v>
      </c>
      <c r="Y37">
        <f t="shared" si="10"/>
        <v>2.7929116247060848</v>
      </c>
      <c r="Z37">
        <f t="shared" si="11"/>
        <v>64.512244078683253</v>
      </c>
      <c r="AA37">
        <f t="shared" si="12"/>
        <v>18.58117795492344</v>
      </c>
      <c r="AB37">
        <f t="shared" si="13"/>
        <v>10.879164993978321</v>
      </c>
    </row>
    <row r="38" spans="1:28" x14ac:dyDescent="0.3">
      <c r="A38">
        <v>204</v>
      </c>
      <c r="B38" t="s">
        <v>41</v>
      </c>
      <c r="C38">
        <v>32033</v>
      </c>
      <c r="D38">
        <v>29</v>
      </c>
      <c r="E38" t="s">
        <v>19</v>
      </c>
      <c r="F38" t="s">
        <v>1</v>
      </c>
      <c r="G38">
        <v>3</v>
      </c>
      <c r="H38">
        <v>2607</v>
      </c>
      <c r="I38">
        <v>2074</v>
      </c>
      <c r="J38">
        <f t="shared" si="1"/>
        <v>79.555044112006129</v>
      </c>
      <c r="K38">
        <v>2106</v>
      </c>
      <c r="L38">
        <v>1065</v>
      </c>
      <c r="M38">
        <v>1041</v>
      </c>
      <c r="N38">
        <v>8861</v>
      </c>
      <c r="O38">
        <v>1861</v>
      </c>
      <c r="P38">
        <v>1806</v>
      </c>
      <c r="Q38">
        <f t="shared" si="2"/>
        <v>300.85714285714283</v>
      </c>
      <c r="R38">
        <f t="shared" si="3"/>
        <v>152.14285714285714</v>
      </c>
      <c r="S38">
        <f t="shared" si="4"/>
        <v>148.71428571428572</v>
      </c>
      <c r="T38">
        <f t="shared" si="5"/>
        <v>1265.8571428571429</v>
      </c>
      <c r="U38">
        <f t="shared" si="6"/>
        <v>265.85714285714283</v>
      </c>
      <c r="V38">
        <f t="shared" si="7"/>
        <v>258</v>
      </c>
      <c r="W38">
        <f t="shared" si="8"/>
        <v>14.506130320980851</v>
      </c>
      <c r="X38">
        <f t="shared" si="9"/>
        <v>7.3357211737153873</v>
      </c>
      <c r="Y38">
        <f t="shared" si="10"/>
        <v>7.1704091472654632</v>
      </c>
      <c r="Z38">
        <f t="shared" si="11"/>
        <v>61.034577765532447</v>
      </c>
      <c r="AA38">
        <f t="shared" si="12"/>
        <v>12.818570050971207</v>
      </c>
      <c r="AB38">
        <f t="shared" si="13"/>
        <v>12.439729990356799</v>
      </c>
    </row>
    <row r="39" spans="1:28" x14ac:dyDescent="0.3">
      <c r="A39">
        <v>205</v>
      </c>
      <c r="B39" t="s">
        <v>42</v>
      </c>
      <c r="C39">
        <v>32034</v>
      </c>
      <c r="D39">
        <v>36</v>
      </c>
      <c r="E39" t="s">
        <v>21</v>
      </c>
      <c r="F39" t="s">
        <v>1</v>
      </c>
      <c r="G39">
        <v>3</v>
      </c>
      <c r="H39">
        <v>1497</v>
      </c>
      <c r="I39">
        <v>971</v>
      </c>
      <c r="J39">
        <f t="shared" si="1"/>
        <v>64.863059452237806</v>
      </c>
      <c r="K39">
        <v>3259</v>
      </c>
      <c r="L39">
        <v>1741</v>
      </c>
      <c r="M39">
        <v>1518</v>
      </c>
      <c r="N39">
        <v>1869</v>
      </c>
      <c r="O39">
        <v>1319</v>
      </c>
      <c r="P39">
        <v>351</v>
      </c>
      <c r="Q39">
        <f t="shared" si="2"/>
        <v>465.57142857142856</v>
      </c>
      <c r="R39">
        <f t="shared" si="3"/>
        <v>248.71428571428572</v>
      </c>
      <c r="S39">
        <f t="shared" si="4"/>
        <v>216.85714285714286</v>
      </c>
      <c r="T39">
        <f t="shared" si="5"/>
        <v>267</v>
      </c>
      <c r="U39">
        <f t="shared" si="6"/>
        <v>188.42857142857142</v>
      </c>
      <c r="V39">
        <f t="shared" si="7"/>
        <v>50.142857142857146</v>
      </c>
      <c r="W39">
        <f t="shared" si="8"/>
        <v>47.94762395174341</v>
      </c>
      <c r="X39">
        <f t="shared" si="9"/>
        <v>25.614241577166396</v>
      </c>
      <c r="Y39">
        <f t="shared" si="10"/>
        <v>22.33338237457702</v>
      </c>
      <c r="Z39">
        <f t="shared" si="11"/>
        <v>27.497425334706488</v>
      </c>
      <c r="AA39">
        <f t="shared" si="12"/>
        <v>19.405620126526408</v>
      </c>
      <c r="AB39">
        <f t="shared" si="13"/>
        <v>5.1640429601294686</v>
      </c>
    </row>
    <row r="40" spans="1:28" x14ac:dyDescent="0.3">
      <c r="A40">
        <v>206</v>
      </c>
      <c r="B40" t="s">
        <v>43</v>
      </c>
      <c r="C40">
        <v>32035</v>
      </c>
      <c r="D40">
        <v>28</v>
      </c>
      <c r="E40" t="s">
        <v>15</v>
      </c>
      <c r="F40" t="s">
        <v>1</v>
      </c>
      <c r="G40">
        <v>3</v>
      </c>
      <c r="H40">
        <v>4073</v>
      </c>
      <c r="I40">
        <v>3619</v>
      </c>
      <c r="J40">
        <f t="shared" si="1"/>
        <v>88.853424993862021</v>
      </c>
      <c r="K40">
        <v>0</v>
      </c>
      <c r="L40">
        <v>0</v>
      </c>
      <c r="M40">
        <v>0</v>
      </c>
      <c r="N40">
        <v>17372</v>
      </c>
      <c r="O40">
        <v>6433</v>
      </c>
      <c r="P40">
        <v>1565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2481.7142857142858</v>
      </c>
      <c r="U40">
        <f t="shared" si="6"/>
        <v>919</v>
      </c>
      <c r="V40">
        <f t="shared" si="7"/>
        <v>223.57142857142858</v>
      </c>
      <c r="W40">
        <f t="shared" si="8"/>
        <v>0</v>
      </c>
      <c r="X40">
        <f t="shared" si="9"/>
        <v>0</v>
      </c>
      <c r="Y40">
        <f t="shared" si="10"/>
        <v>0</v>
      </c>
      <c r="Z40">
        <f t="shared" si="11"/>
        <v>68.5745865077172</v>
      </c>
      <c r="AA40">
        <f t="shared" si="12"/>
        <v>25.393755180989224</v>
      </c>
      <c r="AB40">
        <f t="shared" si="13"/>
        <v>6.177712864642956</v>
      </c>
    </row>
    <row r="41" spans="1:28" x14ac:dyDescent="0.3">
      <c r="A41">
        <v>207</v>
      </c>
      <c r="B41" t="s">
        <v>44</v>
      </c>
      <c r="C41">
        <v>32036</v>
      </c>
      <c r="D41">
        <v>26</v>
      </c>
      <c r="E41" t="s">
        <v>0</v>
      </c>
      <c r="F41" t="s">
        <v>1</v>
      </c>
      <c r="G41">
        <v>3</v>
      </c>
      <c r="H41">
        <v>2406</v>
      </c>
      <c r="I41">
        <v>2069</v>
      </c>
      <c r="J41">
        <f t="shared" si="1"/>
        <v>85.993349958437236</v>
      </c>
      <c r="K41">
        <v>171</v>
      </c>
      <c r="L41">
        <v>0</v>
      </c>
      <c r="M41">
        <v>171</v>
      </c>
      <c r="N41">
        <v>7513</v>
      </c>
      <c r="O41">
        <v>4464</v>
      </c>
      <c r="P41">
        <v>2305</v>
      </c>
      <c r="Q41">
        <f t="shared" si="2"/>
        <v>24.428571428571427</v>
      </c>
      <c r="R41">
        <f t="shared" si="3"/>
        <v>0</v>
      </c>
      <c r="S41">
        <f t="shared" si="4"/>
        <v>24.428571428571427</v>
      </c>
      <c r="T41">
        <f t="shared" si="5"/>
        <v>1073.2857142857142</v>
      </c>
      <c r="U41">
        <f t="shared" si="6"/>
        <v>637.71428571428567</v>
      </c>
      <c r="V41">
        <f t="shared" si="7"/>
        <v>329.28571428571428</v>
      </c>
      <c r="W41">
        <f t="shared" si="8"/>
        <v>1.1806946074708278</v>
      </c>
      <c r="X41">
        <f t="shared" si="9"/>
        <v>0</v>
      </c>
      <c r="Y41">
        <f t="shared" si="10"/>
        <v>1.1806946074708278</v>
      </c>
      <c r="Z41">
        <f t="shared" si="11"/>
        <v>51.874611613615961</v>
      </c>
      <c r="AA41">
        <f t="shared" si="12"/>
        <v>30.822343437133188</v>
      </c>
      <c r="AB41">
        <f t="shared" si="13"/>
        <v>15.915210936960575</v>
      </c>
    </row>
    <row r="42" spans="1:28" x14ac:dyDescent="0.3">
      <c r="A42">
        <v>208</v>
      </c>
      <c r="B42" t="s">
        <v>45</v>
      </c>
      <c r="C42">
        <v>32037</v>
      </c>
      <c r="D42">
        <v>26</v>
      </c>
      <c r="E42" t="s">
        <v>0</v>
      </c>
      <c r="F42" t="s">
        <v>1</v>
      </c>
      <c r="G42">
        <v>3</v>
      </c>
      <c r="H42">
        <v>1339</v>
      </c>
      <c r="I42">
        <v>1272</v>
      </c>
      <c r="J42">
        <f t="shared" si="1"/>
        <v>94.99626587005227</v>
      </c>
      <c r="K42">
        <v>930</v>
      </c>
      <c r="L42">
        <v>79</v>
      </c>
      <c r="M42">
        <v>851</v>
      </c>
      <c r="N42">
        <v>4871</v>
      </c>
      <c r="O42">
        <v>1501</v>
      </c>
      <c r="P42">
        <v>1702</v>
      </c>
      <c r="Q42">
        <f t="shared" si="2"/>
        <v>132.85714285714286</v>
      </c>
      <c r="R42">
        <f t="shared" si="3"/>
        <v>11.285714285714286</v>
      </c>
      <c r="S42">
        <f t="shared" si="4"/>
        <v>121.57142857142857</v>
      </c>
      <c r="T42">
        <f t="shared" si="5"/>
        <v>695.85714285714289</v>
      </c>
      <c r="U42">
        <f t="shared" si="6"/>
        <v>214.42857142857142</v>
      </c>
      <c r="V42">
        <f t="shared" si="7"/>
        <v>243.14285714285714</v>
      </c>
      <c r="W42">
        <f t="shared" si="8"/>
        <v>10.444743935309972</v>
      </c>
      <c r="X42">
        <f t="shared" si="9"/>
        <v>0.88724168912848156</v>
      </c>
      <c r="Y42">
        <f t="shared" si="10"/>
        <v>9.5575022461814907</v>
      </c>
      <c r="Z42">
        <f t="shared" si="11"/>
        <v>54.705750224618157</v>
      </c>
      <c r="AA42">
        <f t="shared" si="12"/>
        <v>16.857592093441149</v>
      </c>
      <c r="AB42">
        <f t="shared" si="13"/>
        <v>19.115004492362981</v>
      </c>
    </row>
    <row r="43" spans="1:28" x14ac:dyDescent="0.3">
      <c r="A43">
        <v>209</v>
      </c>
      <c r="B43" t="s">
        <v>46</v>
      </c>
      <c r="C43">
        <v>32038</v>
      </c>
      <c r="D43">
        <v>32</v>
      </c>
      <c r="E43" t="s">
        <v>31</v>
      </c>
      <c r="F43" t="s">
        <v>1</v>
      </c>
      <c r="G43">
        <v>3</v>
      </c>
      <c r="H43">
        <v>1187</v>
      </c>
      <c r="I43">
        <v>802</v>
      </c>
      <c r="J43">
        <f t="shared" si="1"/>
        <v>67.565290648694187</v>
      </c>
      <c r="K43">
        <v>1581</v>
      </c>
      <c r="L43">
        <v>861</v>
      </c>
      <c r="M43">
        <v>720</v>
      </c>
      <c r="N43">
        <v>1788</v>
      </c>
      <c r="O43">
        <v>2097</v>
      </c>
      <c r="P43">
        <v>140</v>
      </c>
      <c r="Q43">
        <f t="shared" si="2"/>
        <v>225.85714285714286</v>
      </c>
      <c r="R43">
        <f t="shared" si="3"/>
        <v>123</v>
      </c>
      <c r="S43">
        <f t="shared" si="4"/>
        <v>102.85714285714286</v>
      </c>
      <c r="T43">
        <f t="shared" si="5"/>
        <v>255.42857142857142</v>
      </c>
      <c r="U43">
        <f t="shared" si="6"/>
        <v>299.57142857142856</v>
      </c>
      <c r="V43">
        <f t="shared" si="7"/>
        <v>20</v>
      </c>
      <c r="W43">
        <f t="shared" si="8"/>
        <v>28.161738510865693</v>
      </c>
      <c r="X43">
        <f t="shared" si="9"/>
        <v>15.336658354114713</v>
      </c>
      <c r="Y43">
        <f t="shared" si="10"/>
        <v>12.825080156750982</v>
      </c>
      <c r="Z43">
        <f t="shared" si="11"/>
        <v>31.848949055931598</v>
      </c>
      <c r="AA43">
        <f t="shared" si="12"/>
        <v>37.35304595653723</v>
      </c>
      <c r="AB43">
        <f t="shared" si="13"/>
        <v>2.4937655860349128</v>
      </c>
    </row>
    <row r="44" spans="1:28" x14ac:dyDescent="0.3">
      <c r="A44">
        <v>210</v>
      </c>
      <c r="B44" t="s">
        <v>47</v>
      </c>
      <c r="C44">
        <v>32039</v>
      </c>
      <c r="D44">
        <v>35</v>
      </c>
      <c r="E44" t="s">
        <v>29</v>
      </c>
      <c r="F44" t="s">
        <v>1</v>
      </c>
      <c r="G44">
        <v>3</v>
      </c>
      <c r="H44">
        <v>2697</v>
      </c>
      <c r="I44">
        <v>2503</v>
      </c>
      <c r="J44">
        <f t="shared" si="1"/>
        <v>92.806822395253988</v>
      </c>
      <c r="K44">
        <v>2052</v>
      </c>
      <c r="L44">
        <v>500</v>
      </c>
      <c r="M44">
        <v>1552</v>
      </c>
      <c r="N44">
        <v>3900</v>
      </c>
      <c r="O44">
        <v>8800</v>
      </c>
      <c r="P44">
        <v>3006</v>
      </c>
      <c r="Q44">
        <f t="shared" si="2"/>
        <v>293.14285714285717</v>
      </c>
      <c r="R44">
        <f t="shared" si="3"/>
        <v>71.428571428571431</v>
      </c>
      <c r="S44">
        <f t="shared" si="4"/>
        <v>221.71428571428572</v>
      </c>
      <c r="T44">
        <f t="shared" si="5"/>
        <v>557.14285714285711</v>
      </c>
      <c r="U44">
        <f t="shared" si="6"/>
        <v>1257.1428571428571</v>
      </c>
      <c r="V44">
        <f t="shared" si="7"/>
        <v>429.42857142857144</v>
      </c>
      <c r="W44">
        <f t="shared" si="8"/>
        <v>11.711660293362252</v>
      </c>
      <c r="X44">
        <f t="shared" si="9"/>
        <v>2.8537183950687748</v>
      </c>
      <c r="Y44">
        <f t="shared" si="10"/>
        <v>8.8579418982934772</v>
      </c>
      <c r="Z44">
        <f t="shared" si="11"/>
        <v>22.259003481536439</v>
      </c>
      <c r="AA44">
        <f t="shared" si="12"/>
        <v>50.225443753210428</v>
      </c>
      <c r="AB44">
        <f t="shared" si="13"/>
        <v>17.156554991153474</v>
      </c>
    </row>
    <row r="45" spans="1:28" x14ac:dyDescent="0.3">
      <c r="A45">
        <v>211</v>
      </c>
      <c r="B45" t="s">
        <v>48</v>
      </c>
      <c r="C45">
        <v>32040</v>
      </c>
      <c r="D45">
        <v>33</v>
      </c>
      <c r="E45" t="s">
        <v>4</v>
      </c>
      <c r="F45" t="s">
        <v>1</v>
      </c>
      <c r="G45">
        <v>3</v>
      </c>
      <c r="H45">
        <v>2704</v>
      </c>
      <c r="I45">
        <v>1330</v>
      </c>
      <c r="J45">
        <f t="shared" si="1"/>
        <v>49.18639053254438</v>
      </c>
      <c r="K45">
        <v>2451</v>
      </c>
      <c r="L45">
        <v>1252</v>
      </c>
      <c r="M45">
        <v>1199</v>
      </c>
      <c r="N45">
        <v>4235</v>
      </c>
      <c r="O45">
        <v>2101</v>
      </c>
      <c r="P45">
        <v>14</v>
      </c>
      <c r="Q45">
        <f t="shared" si="2"/>
        <v>350.14285714285717</v>
      </c>
      <c r="R45">
        <f t="shared" si="3"/>
        <v>178.85714285714286</v>
      </c>
      <c r="S45">
        <f t="shared" si="4"/>
        <v>171.28571428571428</v>
      </c>
      <c r="T45">
        <f t="shared" si="5"/>
        <v>605</v>
      </c>
      <c r="U45">
        <f t="shared" si="6"/>
        <v>300.14285714285717</v>
      </c>
      <c r="V45">
        <f t="shared" si="7"/>
        <v>2</v>
      </c>
      <c r="W45">
        <f t="shared" si="8"/>
        <v>26.326530612244898</v>
      </c>
      <c r="X45">
        <f t="shared" si="9"/>
        <v>13.447905477980665</v>
      </c>
      <c r="Y45">
        <f t="shared" si="10"/>
        <v>12.878625134264233</v>
      </c>
      <c r="Z45">
        <f t="shared" si="11"/>
        <v>45.488721804511279</v>
      </c>
      <c r="AA45">
        <f t="shared" si="12"/>
        <v>22.567132116004299</v>
      </c>
      <c r="AB45">
        <f t="shared" si="13"/>
        <v>0.15037593984962408</v>
      </c>
    </row>
    <row r="46" spans="1:28" x14ac:dyDescent="0.3">
      <c r="A46">
        <v>212</v>
      </c>
      <c r="B46" t="s">
        <v>49</v>
      </c>
      <c r="C46">
        <v>32041</v>
      </c>
      <c r="D46">
        <v>27</v>
      </c>
      <c r="E46" t="s">
        <v>8</v>
      </c>
      <c r="F46" t="s">
        <v>1</v>
      </c>
      <c r="G46">
        <v>3</v>
      </c>
      <c r="H46">
        <v>2251</v>
      </c>
      <c r="I46">
        <v>922</v>
      </c>
      <c r="J46">
        <f t="shared" si="1"/>
        <v>40.959573522878721</v>
      </c>
      <c r="K46">
        <v>3010</v>
      </c>
      <c r="L46">
        <v>1736</v>
      </c>
      <c r="M46">
        <v>1274</v>
      </c>
      <c r="N46">
        <v>2586</v>
      </c>
      <c r="O46">
        <v>589</v>
      </c>
      <c r="P46">
        <v>249</v>
      </c>
      <c r="Q46">
        <f t="shared" si="2"/>
        <v>430</v>
      </c>
      <c r="R46">
        <f t="shared" si="3"/>
        <v>248</v>
      </c>
      <c r="S46">
        <f t="shared" si="4"/>
        <v>182</v>
      </c>
      <c r="T46">
        <f t="shared" si="5"/>
        <v>369.42857142857144</v>
      </c>
      <c r="U46">
        <f t="shared" si="6"/>
        <v>84.142857142857139</v>
      </c>
      <c r="V46">
        <f t="shared" si="7"/>
        <v>35.571428571428569</v>
      </c>
      <c r="W46">
        <f t="shared" si="8"/>
        <v>46.637744034707154</v>
      </c>
      <c r="X46">
        <f t="shared" si="9"/>
        <v>26.898047722342731</v>
      </c>
      <c r="Y46">
        <f t="shared" si="10"/>
        <v>19.739696312364423</v>
      </c>
      <c r="Z46">
        <f t="shared" si="11"/>
        <v>40.068174775333127</v>
      </c>
      <c r="AA46">
        <f t="shared" si="12"/>
        <v>9.1261233343662838</v>
      </c>
      <c r="AB46">
        <f t="shared" si="13"/>
        <v>3.8580725131701272</v>
      </c>
    </row>
    <row r="47" spans="1:28" x14ac:dyDescent="0.3">
      <c r="A47">
        <v>213</v>
      </c>
      <c r="B47" t="s">
        <v>50</v>
      </c>
      <c r="C47">
        <v>32042</v>
      </c>
      <c r="D47">
        <v>27</v>
      </c>
      <c r="E47" t="s">
        <v>8</v>
      </c>
      <c r="F47" t="s">
        <v>1</v>
      </c>
      <c r="G47">
        <v>3</v>
      </c>
      <c r="H47">
        <v>2997</v>
      </c>
      <c r="I47">
        <v>1848</v>
      </c>
      <c r="J47">
        <f t="shared" si="1"/>
        <v>61.661661661661661</v>
      </c>
      <c r="K47">
        <v>999</v>
      </c>
      <c r="L47">
        <v>311</v>
      </c>
      <c r="M47">
        <v>688</v>
      </c>
      <c r="N47">
        <v>3268</v>
      </c>
      <c r="O47">
        <v>4950</v>
      </c>
      <c r="P47">
        <v>1543</v>
      </c>
      <c r="Q47">
        <f t="shared" si="2"/>
        <v>142.71428571428572</v>
      </c>
      <c r="R47">
        <f t="shared" si="3"/>
        <v>44.428571428571431</v>
      </c>
      <c r="S47">
        <f t="shared" si="4"/>
        <v>98.285714285714292</v>
      </c>
      <c r="T47">
        <f t="shared" si="5"/>
        <v>466.85714285714283</v>
      </c>
      <c r="U47">
        <f t="shared" si="6"/>
        <v>707.14285714285711</v>
      </c>
      <c r="V47">
        <f t="shared" si="7"/>
        <v>220.42857142857142</v>
      </c>
      <c r="W47">
        <f t="shared" si="8"/>
        <v>7.7226345083487944</v>
      </c>
      <c r="X47">
        <f t="shared" si="9"/>
        <v>2.4041434755720474</v>
      </c>
      <c r="Y47">
        <f t="shared" si="10"/>
        <v>5.3184910327767474</v>
      </c>
      <c r="Z47">
        <f t="shared" si="11"/>
        <v>25.262832405689544</v>
      </c>
      <c r="AA47">
        <f t="shared" si="12"/>
        <v>38.265306122448976</v>
      </c>
      <c r="AB47">
        <f t="shared" si="13"/>
        <v>11.927952999381571</v>
      </c>
    </row>
    <row r="48" spans="1:28" x14ac:dyDescent="0.3">
      <c r="A48">
        <v>214</v>
      </c>
      <c r="B48" t="s">
        <v>51</v>
      </c>
      <c r="C48">
        <v>32043</v>
      </c>
      <c r="D48">
        <v>26</v>
      </c>
      <c r="E48" t="s">
        <v>0</v>
      </c>
      <c r="F48" t="s">
        <v>1</v>
      </c>
      <c r="G48">
        <v>3</v>
      </c>
      <c r="H48">
        <v>3682</v>
      </c>
      <c r="I48">
        <v>2408</v>
      </c>
      <c r="J48">
        <f t="shared" si="1"/>
        <v>65.399239543726239</v>
      </c>
      <c r="K48">
        <v>1660</v>
      </c>
      <c r="L48">
        <v>871</v>
      </c>
      <c r="M48">
        <v>789</v>
      </c>
      <c r="N48">
        <v>9304</v>
      </c>
      <c r="O48">
        <v>4197</v>
      </c>
      <c r="P48">
        <v>1663</v>
      </c>
      <c r="Q48">
        <f t="shared" si="2"/>
        <v>237.14285714285714</v>
      </c>
      <c r="R48">
        <f t="shared" si="3"/>
        <v>124.42857142857143</v>
      </c>
      <c r="S48">
        <f t="shared" si="4"/>
        <v>112.71428571428571</v>
      </c>
      <c r="T48">
        <f t="shared" si="5"/>
        <v>1329.1428571428571</v>
      </c>
      <c r="U48">
        <f t="shared" si="6"/>
        <v>599.57142857142856</v>
      </c>
      <c r="V48">
        <f t="shared" si="7"/>
        <v>237.57142857142858</v>
      </c>
      <c r="W48">
        <f t="shared" si="8"/>
        <v>9.848125296630279</v>
      </c>
      <c r="X48">
        <f t="shared" si="9"/>
        <v>5.1672994779307073</v>
      </c>
      <c r="Y48">
        <f t="shared" si="10"/>
        <v>4.6808258186995726</v>
      </c>
      <c r="Z48">
        <f t="shared" si="11"/>
        <v>55.196962505932603</v>
      </c>
      <c r="AA48">
        <f t="shared" si="12"/>
        <v>24.899145704793543</v>
      </c>
      <c r="AB48">
        <f t="shared" si="13"/>
        <v>9.8659231134314194</v>
      </c>
    </row>
    <row r="49" spans="1:28" x14ac:dyDescent="0.3">
      <c r="A49">
        <v>215</v>
      </c>
      <c r="B49" t="s">
        <v>52</v>
      </c>
      <c r="C49">
        <v>32044</v>
      </c>
      <c r="D49">
        <v>32</v>
      </c>
      <c r="E49" t="s">
        <v>31</v>
      </c>
      <c r="F49" t="s">
        <v>1</v>
      </c>
      <c r="G49">
        <v>3</v>
      </c>
      <c r="H49">
        <v>2749</v>
      </c>
      <c r="I49">
        <v>1466</v>
      </c>
      <c r="J49">
        <f t="shared" si="1"/>
        <v>53.328483084758091</v>
      </c>
      <c r="K49">
        <v>571</v>
      </c>
      <c r="L49">
        <v>62</v>
      </c>
      <c r="M49">
        <v>509</v>
      </c>
      <c r="N49">
        <v>6321</v>
      </c>
      <c r="O49">
        <v>2839</v>
      </c>
      <c r="P49">
        <v>301</v>
      </c>
      <c r="Q49">
        <f t="shared" si="2"/>
        <v>81.571428571428569</v>
      </c>
      <c r="R49">
        <f t="shared" si="3"/>
        <v>8.8571428571428577</v>
      </c>
      <c r="S49">
        <f t="shared" si="4"/>
        <v>72.714285714285708</v>
      </c>
      <c r="T49">
        <f t="shared" si="5"/>
        <v>903</v>
      </c>
      <c r="U49">
        <f t="shared" si="6"/>
        <v>405.57142857142856</v>
      </c>
      <c r="V49">
        <f t="shared" si="7"/>
        <v>43</v>
      </c>
      <c r="W49">
        <f t="shared" si="8"/>
        <v>5.5642175014617035</v>
      </c>
      <c r="X49">
        <f t="shared" si="9"/>
        <v>0.60417072695381024</v>
      </c>
      <c r="Y49">
        <f t="shared" si="10"/>
        <v>4.9600467745078927</v>
      </c>
      <c r="Z49">
        <f t="shared" si="11"/>
        <v>61.596180081855387</v>
      </c>
      <c r="AA49">
        <f t="shared" si="12"/>
        <v>27.665172480997857</v>
      </c>
      <c r="AB49">
        <f t="shared" si="13"/>
        <v>2.9331514324693044</v>
      </c>
    </row>
    <row r="50" spans="1:28" x14ac:dyDescent="0.3">
      <c r="A50">
        <v>216</v>
      </c>
      <c r="B50" t="s">
        <v>53</v>
      </c>
      <c r="C50">
        <v>32045</v>
      </c>
      <c r="D50">
        <v>28</v>
      </c>
      <c r="E50" t="s">
        <v>15</v>
      </c>
      <c r="F50" t="s">
        <v>1</v>
      </c>
      <c r="G50">
        <v>3</v>
      </c>
      <c r="H50">
        <v>3627</v>
      </c>
      <c r="I50">
        <v>1851</v>
      </c>
      <c r="J50">
        <f t="shared" si="1"/>
        <v>51.033912324234912</v>
      </c>
      <c r="K50">
        <v>3968</v>
      </c>
      <c r="L50">
        <v>2246</v>
      </c>
      <c r="M50">
        <v>1722</v>
      </c>
      <c r="N50">
        <v>5290</v>
      </c>
      <c r="O50">
        <v>3548</v>
      </c>
      <c r="P50">
        <v>75</v>
      </c>
      <c r="Q50">
        <f t="shared" si="2"/>
        <v>566.85714285714289</v>
      </c>
      <c r="R50">
        <f t="shared" si="3"/>
        <v>320.85714285714283</v>
      </c>
      <c r="S50">
        <f t="shared" si="4"/>
        <v>246</v>
      </c>
      <c r="T50">
        <f t="shared" si="5"/>
        <v>755.71428571428567</v>
      </c>
      <c r="U50">
        <f t="shared" si="6"/>
        <v>506.85714285714283</v>
      </c>
      <c r="V50">
        <f t="shared" si="7"/>
        <v>10.714285714285714</v>
      </c>
      <c r="W50">
        <f t="shared" si="8"/>
        <v>30.624372925831601</v>
      </c>
      <c r="X50">
        <f t="shared" si="9"/>
        <v>17.334259473643591</v>
      </c>
      <c r="Y50">
        <f t="shared" si="10"/>
        <v>13.290113452188008</v>
      </c>
      <c r="Z50">
        <f t="shared" si="11"/>
        <v>40.827352010496256</v>
      </c>
      <c r="AA50">
        <f t="shared" si="12"/>
        <v>27.382881839932082</v>
      </c>
      <c r="AB50">
        <f t="shared" si="13"/>
        <v>0.57883769391062745</v>
      </c>
    </row>
    <row r="51" spans="1:28" x14ac:dyDescent="0.3">
      <c r="A51">
        <v>217</v>
      </c>
      <c r="B51" t="s">
        <v>54</v>
      </c>
      <c r="C51">
        <v>32046</v>
      </c>
      <c r="D51">
        <v>33</v>
      </c>
      <c r="E51" t="s">
        <v>4</v>
      </c>
      <c r="F51" t="s">
        <v>1</v>
      </c>
      <c r="G51">
        <v>3</v>
      </c>
      <c r="H51">
        <v>2308</v>
      </c>
      <c r="I51">
        <v>817</v>
      </c>
      <c r="J51">
        <f t="shared" si="1"/>
        <v>35.398613518197578</v>
      </c>
      <c r="K51">
        <v>3862</v>
      </c>
      <c r="L51">
        <v>2205</v>
      </c>
      <c r="M51">
        <v>1657</v>
      </c>
      <c r="N51">
        <v>989</v>
      </c>
      <c r="O51">
        <v>432</v>
      </c>
      <c r="P51">
        <v>474</v>
      </c>
      <c r="Q51">
        <f t="shared" si="2"/>
        <v>551.71428571428567</v>
      </c>
      <c r="R51">
        <f t="shared" si="3"/>
        <v>315</v>
      </c>
      <c r="S51">
        <f t="shared" si="4"/>
        <v>236.71428571428572</v>
      </c>
      <c r="T51">
        <f t="shared" si="5"/>
        <v>141.28571428571428</v>
      </c>
      <c r="U51">
        <f t="shared" si="6"/>
        <v>61.714285714285715</v>
      </c>
      <c r="V51">
        <f t="shared" si="7"/>
        <v>67.714285714285708</v>
      </c>
      <c r="W51">
        <f t="shared" si="8"/>
        <v>67.529288337121869</v>
      </c>
      <c r="X51">
        <f t="shared" si="9"/>
        <v>38.555691554467565</v>
      </c>
      <c r="Y51">
        <f t="shared" si="10"/>
        <v>28.973596782654308</v>
      </c>
      <c r="Z51">
        <f t="shared" si="11"/>
        <v>17.293233082706767</v>
      </c>
      <c r="AA51">
        <f t="shared" si="12"/>
        <v>7.5537681412834417</v>
      </c>
      <c r="AB51">
        <f t="shared" si="13"/>
        <v>8.2881622661304419</v>
      </c>
    </row>
    <row r="52" spans="1:28" x14ac:dyDescent="0.3">
      <c r="A52">
        <v>218</v>
      </c>
      <c r="B52" t="s">
        <v>55</v>
      </c>
      <c r="C52">
        <v>32047</v>
      </c>
      <c r="D52">
        <v>29</v>
      </c>
      <c r="E52" t="s">
        <v>19</v>
      </c>
      <c r="F52" t="s">
        <v>1</v>
      </c>
      <c r="G52">
        <v>3</v>
      </c>
      <c r="H52">
        <v>2946</v>
      </c>
      <c r="I52">
        <v>2178</v>
      </c>
      <c r="J52">
        <f t="shared" si="1"/>
        <v>73.930753564154784</v>
      </c>
      <c r="K52">
        <v>729</v>
      </c>
      <c r="L52">
        <v>478</v>
      </c>
      <c r="M52">
        <v>251</v>
      </c>
      <c r="N52">
        <v>10093</v>
      </c>
      <c r="O52">
        <v>3540</v>
      </c>
      <c r="P52">
        <v>339</v>
      </c>
      <c r="Q52">
        <f t="shared" si="2"/>
        <v>104.14285714285714</v>
      </c>
      <c r="R52">
        <f t="shared" si="3"/>
        <v>68.285714285714292</v>
      </c>
      <c r="S52">
        <f t="shared" si="4"/>
        <v>35.857142857142854</v>
      </c>
      <c r="T52">
        <f t="shared" si="5"/>
        <v>1441.8571428571429</v>
      </c>
      <c r="U52">
        <f t="shared" si="6"/>
        <v>505.71428571428572</v>
      </c>
      <c r="V52">
        <f t="shared" si="7"/>
        <v>48.428571428571431</v>
      </c>
      <c r="W52">
        <f t="shared" si="8"/>
        <v>4.781582054309327</v>
      </c>
      <c r="X52">
        <f t="shared" si="9"/>
        <v>3.1352485897940445</v>
      </c>
      <c r="Y52">
        <f t="shared" si="10"/>
        <v>1.6463334645152827</v>
      </c>
      <c r="Z52">
        <f t="shared" si="11"/>
        <v>66.200970746425298</v>
      </c>
      <c r="AA52">
        <f t="shared" si="12"/>
        <v>23.219205037386857</v>
      </c>
      <c r="AB52">
        <f t="shared" si="13"/>
        <v>2.22353404171586</v>
      </c>
    </row>
    <row r="53" spans="1:28" x14ac:dyDescent="0.3">
      <c r="A53">
        <v>219</v>
      </c>
      <c r="B53" t="s">
        <v>56</v>
      </c>
      <c r="C53">
        <v>32048</v>
      </c>
      <c r="D53">
        <v>36</v>
      </c>
      <c r="E53" t="s">
        <v>21</v>
      </c>
      <c r="F53" t="s">
        <v>1</v>
      </c>
      <c r="G53">
        <v>3</v>
      </c>
      <c r="H53">
        <v>1737</v>
      </c>
      <c r="I53">
        <v>1647</v>
      </c>
      <c r="J53">
        <f t="shared" si="1"/>
        <v>94.818652849740943</v>
      </c>
      <c r="K53">
        <v>2900</v>
      </c>
      <c r="L53">
        <v>1350</v>
      </c>
      <c r="M53">
        <v>1550</v>
      </c>
      <c r="N53">
        <v>2700</v>
      </c>
      <c r="O53">
        <v>3679</v>
      </c>
      <c r="P53">
        <v>2250</v>
      </c>
      <c r="Q53">
        <f t="shared" si="2"/>
        <v>414.28571428571428</v>
      </c>
      <c r="R53">
        <f t="shared" si="3"/>
        <v>192.85714285714286</v>
      </c>
      <c r="S53">
        <f t="shared" si="4"/>
        <v>221.42857142857142</v>
      </c>
      <c r="T53">
        <f t="shared" si="5"/>
        <v>385.71428571428572</v>
      </c>
      <c r="U53">
        <f t="shared" si="6"/>
        <v>525.57142857142856</v>
      </c>
      <c r="V53">
        <f t="shared" si="7"/>
        <v>321.42857142857144</v>
      </c>
      <c r="W53">
        <f t="shared" si="8"/>
        <v>25.153959580189088</v>
      </c>
      <c r="X53">
        <f t="shared" si="9"/>
        <v>11.7096018735363</v>
      </c>
      <c r="Y53">
        <f t="shared" si="10"/>
        <v>13.444357706652788</v>
      </c>
      <c r="Z53">
        <f t="shared" si="11"/>
        <v>23.419203747072601</v>
      </c>
      <c r="AA53">
        <f t="shared" si="12"/>
        <v>31.910833550177813</v>
      </c>
      <c r="AB53">
        <f t="shared" si="13"/>
        <v>19.516003122560502</v>
      </c>
    </row>
    <row r="54" spans="1:28" x14ac:dyDescent="0.3">
      <c r="A54">
        <v>220</v>
      </c>
      <c r="B54" t="s">
        <v>57</v>
      </c>
      <c r="C54">
        <v>32049</v>
      </c>
      <c r="D54">
        <v>32</v>
      </c>
      <c r="E54" t="s">
        <v>31</v>
      </c>
      <c r="F54" t="s">
        <v>1</v>
      </c>
      <c r="G54">
        <v>3</v>
      </c>
      <c r="H54">
        <v>2346</v>
      </c>
      <c r="I54">
        <v>2118</v>
      </c>
      <c r="J54">
        <f t="shared" si="1"/>
        <v>90.28132992327366</v>
      </c>
      <c r="K54">
        <v>1525</v>
      </c>
      <c r="L54">
        <v>0</v>
      </c>
      <c r="M54">
        <v>1525</v>
      </c>
      <c r="N54">
        <v>4800</v>
      </c>
      <c r="O54">
        <v>6745</v>
      </c>
      <c r="P54">
        <v>1735</v>
      </c>
      <c r="Q54">
        <f t="shared" si="2"/>
        <v>217.85714285714286</v>
      </c>
      <c r="R54">
        <f t="shared" si="3"/>
        <v>0</v>
      </c>
      <c r="S54">
        <f t="shared" si="4"/>
        <v>217.85714285714286</v>
      </c>
      <c r="T54">
        <f t="shared" si="5"/>
        <v>685.71428571428567</v>
      </c>
      <c r="U54">
        <f t="shared" si="6"/>
        <v>963.57142857142856</v>
      </c>
      <c r="V54">
        <f t="shared" si="7"/>
        <v>247.85714285714286</v>
      </c>
      <c r="W54">
        <f t="shared" si="8"/>
        <v>10.285984082018077</v>
      </c>
      <c r="X54">
        <f t="shared" si="9"/>
        <v>0</v>
      </c>
      <c r="Y54">
        <f t="shared" si="10"/>
        <v>10.285984082018077</v>
      </c>
      <c r="Z54">
        <f t="shared" si="11"/>
        <v>32.375556454876566</v>
      </c>
      <c r="AA54">
        <f t="shared" si="12"/>
        <v>45.494401726696346</v>
      </c>
      <c r="AB54">
        <f t="shared" si="13"/>
        <v>11.702414676918927</v>
      </c>
    </row>
    <row r="55" spans="1:28" x14ac:dyDescent="0.3">
      <c r="A55">
        <v>221</v>
      </c>
      <c r="B55" t="s">
        <v>58</v>
      </c>
      <c r="C55">
        <v>32050</v>
      </c>
      <c r="D55">
        <v>35</v>
      </c>
      <c r="E55" t="s">
        <v>29</v>
      </c>
      <c r="F55" t="s">
        <v>1</v>
      </c>
      <c r="G55">
        <v>3</v>
      </c>
      <c r="H55">
        <v>2833</v>
      </c>
      <c r="I55">
        <v>2147</v>
      </c>
      <c r="J55">
        <f t="shared" si="1"/>
        <v>75.785386516060711</v>
      </c>
      <c r="K55">
        <v>884</v>
      </c>
      <c r="L55">
        <v>475</v>
      </c>
      <c r="M55">
        <v>409</v>
      </c>
      <c r="N55">
        <v>10151</v>
      </c>
      <c r="O55">
        <v>1720</v>
      </c>
      <c r="P55">
        <v>2137</v>
      </c>
      <c r="Q55">
        <f t="shared" si="2"/>
        <v>126.28571428571429</v>
      </c>
      <c r="R55">
        <f t="shared" si="3"/>
        <v>67.857142857142861</v>
      </c>
      <c r="S55">
        <f t="shared" si="4"/>
        <v>58.428571428571431</v>
      </c>
      <c r="T55">
        <f t="shared" si="5"/>
        <v>1450.1428571428571</v>
      </c>
      <c r="U55">
        <f t="shared" si="6"/>
        <v>245.71428571428572</v>
      </c>
      <c r="V55">
        <f t="shared" si="7"/>
        <v>305.28571428571428</v>
      </c>
      <c r="W55">
        <f t="shared" si="8"/>
        <v>5.8819615410206936</v>
      </c>
      <c r="X55">
        <f t="shared" si="9"/>
        <v>3.1605562579013911</v>
      </c>
      <c r="Y55">
        <f t="shared" si="10"/>
        <v>2.7214052831193025</v>
      </c>
      <c r="Z55">
        <f t="shared" si="11"/>
        <v>67.54275068201477</v>
      </c>
      <c r="AA55">
        <f t="shared" si="12"/>
        <v>11.444540554927141</v>
      </c>
      <c r="AB55">
        <f t="shared" si="13"/>
        <v>14.21917625923215</v>
      </c>
    </row>
    <row r="56" spans="1:28" x14ac:dyDescent="0.3">
      <c r="A56">
        <v>222</v>
      </c>
      <c r="B56" t="s">
        <v>59</v>
      </c>
      <c r="C56">
        <v>99010</v>
      </c>
      <c r="D56">
        <v>30</v>
      </c>
      <c r="E56" t="s">
        <v>7</v>
      </c>
      <c r="F56" t="s">
        <v>1</v>
      </c>
      <c r="G56">
        <v>3</v>
      </c>
      <c r="H56" t="s">
        <v>128</v>
      </c>
      <c r="I56" t="s">
        <v>128</v>
      </c>
      <c r="J56" t="s">
        <v>128</v>
      </c>
      <c r="K56" t="s">
        <v>128</v>
      </c>
      <c r="L56" t="s">
        <v>128</v>
      </c>
      <c r="M56" t="s">
        <v>128</v>
      </c>
      <c r="N56" t="s">
        <v>128</v>
      </c>
      <c r="O56" t="s">
        <v>128</v>
      </c>
      <c r="P56" t="s">
        <v>128</v>
      </c>
      <c r="Q56" t="s">
        <v>128</v>
      </c>
      <c r="R56" t="s">
        <v>128</v>
      </c>
      <c r="S56" t="s">
        <v>128</v>
      </c>
      <c r="T56" t="s">
        <v>128</v>
      </c>
      <c r="U56" t="s">
        <v>128</v>
      </c>
      <c r="V56" t="s">
        <v>128</v>
      </c>
      <c r="W56" t="s">
        <v>128</v>
      </c>
      <c r="X56" t="s">
        <v>128</v>
      </c>
      <c r="Y56" t="s">
        <v>128</v>
      </c>
      <c r="Z56" t="s">
        <v>128</v>
      </c>
      <c r="AA56" t="s">
        <v>128</v>
      </c>
      <c r="AB56" t="s">
        <v>128</v>
      </c>
    </row>
    <row r="57" spans="1:28" x14ac:dyDescent="0.3">
      <c r="A57">
        <v>223</v>
      </c>
      <c r="B57" t="s">
        <v>60</v>
      </c>
      <c r="C57">
        <v>32051</v>
      </c>
      <c r="D57">
        <v>27</v>
      </c>
      <c r="E57" t="s">
        <v>8</v>
      </c>
      <c r="F57" t="s">
        <v>1</v>
      </c>
      <c r="G57">
        <v>3</v>
      </c>
      <c r="H57">
        <v>3919</v>
      </c>
      <c r="I57">
        <v>1319</v>
      </c>
      <c r="J57">
        <f t="shared" si="1"/>
        <v>33.656545036999233</v>
      </c>
      <c r="K57">
        <v>1358</v>
      </c>
      <c r="L57">
        <v>547</v>
      </c>
      <c r="M57">
        <v>811</v>
      </c>
      <c r="N57">
        <v>4763</v>
      </c>
      <c r="O57">
        <v>2309</v>
      </c>
      <c r="P57">
        <v>326</v>
      </c>
      <c r="Q57">
        <f t="shared" si="2"/>
        <v>194</v>
      </c>
      <c r="R57">
        <f t="shared" si="3"/>
        <v>78.142857142857139</v>
      </c>
      <c r="S57">
        <f t="shared" si="4"/>
        <v>115.85714285714286</v>
      </c>
      <c r="T57">
        <f t="shared" si="5"/>
        <v>680.42857142857144</v>
      </c>
      <c r="U57">
        <f t="shared" si="6"/>
        <v>329.85714285714283</v>
      </c>
      <c r="V57">
        <f t="shared" si="7"/>
        <v>46.571428571428569</v>
      </c>
      <c r="W57">
        <f t="shared" si="8"/>
        <v>14.70811220621683</v>
      </c>
      <c r="X57">
        <f t="shared" si="9"/>
        <v>5.9244016029459541</v>
      </c>
      <c r="Y57">
        <f t="shared" si="10"/>
        <v>8.783710603270876</v>
      </c>
      <c r="Z57">
        <f t="shared" si="11"/>
        <v>51.586699880862128</v>
      </c>
      <c r="AA57">
        <f t="shared" si="12"/>
        <v>25.008123036932737</v>
      </c>
      <c r="AB57">
        <f t="shared" si="13"/>
        <v>3.5308133867648652</v>
      </c>
    </row>
    <row r="58" spans="1:28" x14ac:dyDescent="0.3">
      <c r="A58">
        <v>224</v>
      </c>
      <c r="B58" t="s">
        <v>61</v>
      </c>
      <c r="C58">
        <v>32052</v>
      </c>
      <c r="D58">
        <v>31</v>
      </c>
      <c r="E58" t="s">
        <v>1</v>
      </c>
      <c r="F58" t="s">
        <v>1</v>
      </c>
      <c r="G58">
        <v>3</v>
      </c>
      <c r="H58">
        <v>4796</v>
      </c>
      <c r="I58">
        <v>3826</v>
      </c>
      <c r="J58">
        <f t="shared" si="1"/>
        <v>79.774812343619686</v>
      </c>
      <c r="K58">
        <v>3407</v>
      </c>
      <c r="L58">
        <v>2417</v>
      </c>
      <c r="M58">
        <v>990</v>
      </c>
      <c r="N58">
        <v>8398</v>
      </c>
      <c r="O58">
        <v>13222</v>
      </c>
      <c r="P58">
        <v>1320</v>
      </c>
      <c r="Q58">
        <f t="shared" si="2"/>
        <v>486.71428571428572</v>
      </c>
      <c r="R58">
        <f t="shared" si="3"/>
        <v>345.28571428571428</v>
      </c>
      <c r="S58">
        <f t="shared" si="4"/>
        <v>141.42857142857142</v>
      </c>
      <c r="T58">
        <f t="shared" si="5"/>
        <v>1199.7142857142858</v>
      </c>
      <c r="U58">
        <f t="shared" si="6"/>
        <v>1888.8571428571429</v>
      </c>
      <c r="V58">
        <f t="shared" si="7"/>
        <v>188.57142857142858</v>
      </c>
      <c r="W58">
        <f t="shared" si="8"/>
        <v>12.721230677320589</v>
      </c>
      <c r="X58">
        <f t="shared" si="9"/>
        <v>9.0247180942424006</v>
      </c>
      <c r="Y58">
        <f t="shared" si="10"/>
        <v>3.6965125830781869</v>
      </c>
      <c r="Z58">
        <f t="shared" si="11"/>
        <v>31.35688148756628</v>
      </c>
      <c r="AA58">
        <f t="shared" si="12"/>
        <v>49.3689791651109</v>
      </c>
      <c r="AB58">
        <f t="shared" si="13"/>
        <v>4.9286834441042497</v>
      </c>
    </row>
    <row r="59" spans="1:28" x14ac:dyDescent="0.3">
      <c r="A59">
        <v>225</v>
      </c>
      <c r="B59" t="s">
        <v>62</v>
      </c>
      <c r="C59">
        <v>32053</v>
      </c>
      <c r="D59">
        <v>35</v>
      </c>
      <c r="E59" t="s">
        <v>29</v>
      </c>
      <c r="F59" t="s">
        <v>1</v>
      </c>
      <c r="G59">
        <v>3</v>
      </c>
      <c r="H59">
        <v>1699</v>
      </c>
      <c r="I59">
        <v>1409</v>
      </c>
      <c r="J59">
        <f t="shared" si="1"/>
        <v>82.931135962330785</v>
      </c>
      <c r="K59">
        <v>298</v>
      </c>
      <c r="L59">
        <v>200</v>
      </c>
      <c r="M59">
        <v>98</v>
      </c>
      <c r="N59">
        <v>5211</v>
      </c>
      <c r="O59">
        <v>1445</v>
      </c>
      <c r="P59">
        <v>1819</v>
      </c>
      <c r="Q59">
        <f t="shared" si="2"/>
        <v>42.571428571428569</v>
      </c>
      <c r="R59">
        <f t="shared" si="3"/>
        <v>28.571428571428573</v>
      </c>
      <c r="S59">
        <f t="shared" si="4"/>
        <v>14</v>
      </c>
      <c r="T59">
        <f t="shared" si="5"/>
        <v>744.42857142857144</v>
      </c>
      <c r="U59">
        <f t="shared" si="6"/>
        <v>206.42857142857142</v>
      </c>
      <c r="V59">
        <f t="shared" si="7"/>
        <v>259.85714285714283</v>
      </c>
      <c r="W59">
        <f t="shared" si="8"/>
        <v>3.0213930852681736</v>
      </c>
      <c r="X59">
        <f t="shared" si="9"/>
        <v>2.0277805941397142</v>
      </c>
      <c r="Y59">
        <f t="shared" si="10"/>
        <v>0.99361249112845995</v>
      </c>
      <c r="Z59">
        <f t="shared" si="11"/>
        <v>52.83382338031025</v>
      </c>
      <c r="AA59">
        <f t="shared" si="12"/>
        <v>14.650714792659434</v>
      </c>
      <c r="AB59">
        <f t="shared" si="13"/>
        <v>18.442664503700698</v>
      </c>
    </row>
    <row r="60" spans="1:28" x14ac:dyDescent="0.3">
      <c r="A60">
        <v>226</v>
      </c>
      <c r="B60" t="s">
        <v>1</v>
      </c>
      <c r="C60">
        <v>32054</v>
      </c>
      <c r="D60">
        <v>31</v>
      </c>
      <c r="E60" t="s">
        <v>1</v>
      </c>
      <c r="F60" t="s">
        <v>1</v>
      </c>
      <c r="G60">
        <v>3</v>
      </c>
      <c r="H60">
        <v>12012</v>
      </c>
      <c r="I60">
        <v>7967</v>
      </c>
      <c r="J60">
        <f t="shared" si="1"/>
        <v>66.325341325341327</v>
      </c>
      <c r="K60">
        <v>22174</v>
      </c>
      <c r="L60">
        <v>12875</v>
      </c>
      <c r="M60">
        <v>9299</v>
      </c>
      <c r="N60">
        <v>23941</v>
      </c>
      <c r="O60">
        <v>6705</v>
      </c>
      <c r="P60">
        <v>1360</v>
      </c>
      <c r="Q60">
        <f t="shared" si="2"/>
        <v>3167.7142857142858</v>
      </c>
      <c r="R60">
        <f t="shared" si="3"/>
        <v>1839.2857142857142</v>
      </c>
      <c r="S60">
        <f t="shared" si="4"/>
        <v>1328.4285714285713</v>
      </c>
      <c r="T60">
        <f t="shared" si="5"/>
        <v>3420.1428571428573</v>
      </c>
      <c r="U60">
        <f t="shared" si="6"/>
        <v>957.85714285714289</v>
      </c>
      <c r="V60">
        <f t="shared" si="7"/>
        <v>194.28571428571428</v>
      </c>
      <c r="W60">
        <f t="shared" si="8"/>
        <v>39.760440388029195</v>
      </c>
      <c r="X60">
        <f t="shared" si="9"/>
        <v>23.086302426079001</v>
      </c>
      <c r="Y60">
        <f t="shared" si="10"/>
        <v>16.674137961950187</v>
      </c>
      <c r="Z60">
        <f t="shared" si="11"/>
        <v>42.928867291864655</v>
      </c>
      <c r="AA60">
        <f t="shared" si="12"/>
        <v>12.022808370241531</v>
      </c>
      <c r="AB60">
        <f t="shared" si="13"/>
        <v>2.4386307805411609</v>
      </c>
    </row>
    <row r="61" spans="1:28" x14ac:dyDescent="0.3">
      <c r="A61">
        <v>227</v>
      </c>
      <c r="B61" t="s">
        <v>63</v>
      </c>
      <c r="C61">
        <v>32055</v>
      </c>
      <c r="D61">
        <v>26</v>
      </c>
      <c r="E61" t="s">
        <v>0</v>
      </c>
      <c r="F61" t="s">
        <v>1</v>
      </c>
      <c r="G61">
        <v>3</v>
      </c>
      <c r="H61" t="s">
        <v>128</v>
      </c>
      <c r="I61" t="s">
        <v>128</v>
      </c>
      <c r="J61" t="s">
        <v>128</v>
      </c>
      <c r="K61" t="s">
        <v>128</v>
      </c>
      <c r="L61" t="s">
        <v>128</v>
      </c>
      <c r="M61" t="s">
        <v>128</v>
      </c>
      <c r="N61" t="s">
        <v>128</v>
      </c>
      <c r="O61" t="s">
        <v>128</v>
      </c>
      <c r="P61" t="s">
        <v>128</v>
      </c>
      <c r="Q61" t="s">
        <v>128</v>
      </c>
      <c r="R61" t="s">
        <v>128</v>
      </c>
      <c r="S61" t="s">
        <v>128</v>
      </c>
      <c r="T61" t="s">
        <v>128</v>
      </c>
      <c r="U61" t="s">
        <v>128</v>
      </c>
      <c r="V61" t="s">
        <v>128</v>
      </c>
      <c r="W61" t="s">
        <v>128</v>
      </c>
      <c r="X61" t="s">
        <v>128</v>
      </c>
      <c r="Y61" t="s">
        <v>128</v>
      </c>
      <c r="Z61" t="s">
        <v>128</v>
      </c>
      <c r="AA61" t="s">
        <v>128</v>
      </c>
      <c r="AB61" t="s">
        <v>128</v>
      </c>
    </row>
    <row r="62" spans="1:28" x14ac:dyDescent="0.3">
      <c r="A62">
        <v>228</v>
      </c>
      <c r="B62" t="s">
        <v>64</v>
      </c>
      <c r="C62">
        <v>32056</v>
      </c>
      <c r="D62">
        <v>27</v>
      </c>
      <c r="E62" t="s">
        <v>8</v>
      </c>
      <c r="F62" t="s">
        <v>1</v>
      </c>
      <c r="G62">
        <v>3</v>
      </c>
      <c r="H62">
        <v>2441</v>
      </c>
      <c r="I62">
        <v>2102</v>
      </c>
      <c r="J62">
        <f t="shared" si="1"/>
        <v>86.11224907824662</v>
      </c>
      <c r="K62">
        <v>967</v>
      </c>
      <c r="L62">
        <v>430</v>
      </c>
      <c r="M62">
        <v>537</v>
      </c>
      <c r="N62">
        <v>7834</v>
      </c>
      <c r="O62">
        <v>4148</v>
      </c>
      <c r="P62">
        <v>2172</v>
      </c>
      <c r="Q62">
        <f t="shared" si="2"/>
        <v>138.14285714285714</v>
      </c>
      <c r="R62">
        <f t="shared" si="3"/>
        <v>61.428571428571431</v>
      </c>
      <c r="S62">
        <f t="shared" si="4"/>
        <v>76.714285714285708</v>
      </c>
      <c r="T62">
        <f t="shared" si="5"/>
        <v>1119.1428571428571</v>
      </c>
      <c r="U62">
        <f t="shared" si="6"/>
        <v>592.57142857142856</v>
      </c>
      <c r="V62">
        <f t="shared" si="7"/>
        <v>310.28571428571428</v>
      </c>
      <c r="W62">
        <f t="shared" si="8"/>
        <v>6.5719722713062385</v>
      </c>
      <c r="X62">
        <f t="shared" si="9"/>
        <v>2.9223868424629607</v>
      </c>
      <c r="Y62">
        <f t="shared" si="10"/>
        <v>3.6495854288432779</v>
      </c>
      <c r="Z62">
        <f t="shared" si="11"/>
        <v>53.241810520592637</v>
      </c>
      <c r="AA62">
        <f t="shared" si="12"/>
        <v>28.190838657061303</v>
      </c>
      <c r="AB62">
        <f t="shared" si="13"/>
        <v>14.761451678673371</v>
      </c>
    </row>
    <row r="63" spans="1:28" x14ac:dyDescent="0.3">
      <c r="A63">
        <v>229</v>
      </c>
      <c r="B63" t="s">
        <v>65</v>
      </c>
      <c r="C63">
        <v>32057</v>
      </c>
      <c r="D63">
        <v>32</v>
      </c>
      <c r="E63" t="s">
        <v>31</v>
      </c>
      <c r="F63" t="s">
        <v>1</v>
      </c>
      <c r="G63">
        <v>3</v>
      </c>
      <c r="H63">
        <v>2167</v>
      </c>
      <c r="I63">
        <v>1961</v>
      </c>
      <c r="J63">
        <f t="shared" si="1"/>
        <v>90.493770189201655</v>
      </c>
      <c r="K63">
        <v>1620</v>
      </c>
      <c r="L63">
        <v>520</v>
      </c>
      <c r="M63">
        <v>1100</v>
      </c>
      <c r="N63">
        <v>5244</v>
      </c>
      <c r="O63">
        <v>5000</v>
      </c>
      <c r="P63">
        <v>1400</v>
      </c>
      <c r="Q63">
        <f t="shared" si="2"/>
        <v>231.42857142857142</v>
      </c>
      <c r="R63">
        <f t="shared" si="3"/>
        <v>74.285714285714292</v>
      </c>
      <c r="S63">
        <f t="shared" si="4"/>
        <v>157.14285714285714</v>
      </c>
      <c r="T63">
        <f t="shared" si="5"/>
        <v>749.14285714285711</v>
      </c>
      <c r="U63">
        <f t="shared" si="6"/>
        <v>714.28571428571433</v>
      </c>
      <c r="V63">
        <f t="shared" si="7"/>
        <v>200</v>
      </c>
      <c r="W63">
        <f t="shared" si="8"/>
        <v>11.801558971370293</v>
      </c>
      <c r="X63">
        <f t="shared" si="9"/>
        <v>3.7881547315509585</v>
      </c>
      <c r="Y63">
        <f t="shared" si="10"/>
        <v>8.0134042398193337</v>
      </c>
      <c r="Z63">
        <f t="shared" si="11"/>
        <v>38.202083485102349</v>
      </c>
      <c r="AA63">
        <f t="shared" si="12"/>
        <v>36.424564726451521</v>
      </c>
      <c r="AB63">
        <f t="shared" si="13"/>
        <v>10.198878123406425</v>
      </c>
    </row>
    <row r="64" spans="1:28" x14ac:dyDescent="0.3">
      <c r="A64">
        <v>230</v>
      </c>
      <c r="B64" t="s">
        <v>66</v>
      </c>
      <c r="C64">
        <v>32058</v>
      </c>
      <c r="D64">
        <v>31</v>
      </c>
      <c r="E64" t="s">
        <v>1</v>
      </c>
      <c r="F64" t="s">
        <v>1</v>
      </c>
      <c r="G64">
        <v>3</v>
      </c>
      <c r="H64">
        <v>3770</v>
      </c>
      <c r="I64">
        <v>3249</v>
      </c>
      <c r="J64">
        <f t="shared" si="1"/>
        <v>86.180371352785144</v>
      </c>
      <c r="K64">
        <v>4641</v>
      </c>
      <c r="L64">
        <v>2505</v>
      </c>
      <c r="M64">
        <v>2136</v>
      </c>
      <c r="N64">
        <v>4300</v>
      </c>
      <c r="O64">
        <v>12336</v>
      </c>
      <c r="P64">
        <v>1802</v>
      </c>
      <c r="Q64">
        <f t="shared" si="2"/>
        <v>663</v>
      </c>
      <c r="R64">
        <f t="shared" si="3"/>
        <v>357.85714285714283</v>
      </c>
      <c r="S64">
        <f t="shared" si="4"/>
        <v>305.14285714285717</v>
      </c>
      <c r="T64">
        <f t="shared" si="5"/>
        <v>614.28571428571433</v>
      </c>
      <c r="U64">
        <f t="shared" si="6"/>
        <v>1762.2857142857142</v>
      </c>
      <c r="V64">
        <f t="shared" si="7"/>
        <v>257.42857142857144</v>
      </c>
      <c r="W64">
        <f t="shared" si="8"/>
        <v>20.406278855032316</v>
      </c>
      <c r="X64">
        <f t="shared" si="9"/>
        <v>11.01437805038913</v>
      </c>
      <c r="Y64">
        <f t="shared" si="10"/>
        <v>9.3919008046431873</v>
      </c>
      <c r="Z64">
        <f t="shared" si="11"/>
        <v>18.906916413841625</v>
      </c>
      <c r="AA64">
        <f t="shared" si="12"/>
        <v>54.240865321197731</v>
      </c>
      <c r="AB64">
        <f t="shared" si="13"/>
        <v>7.9233170645913038</v>
      </c>
    </row>
    <row r="65" spans="1:28" x14ac:dyDescent="0.3">
      <c r="A65">
        <v>231</v>
      </c>
      <c r="B65" t="s">
        <v>67</v>
      </c>
      <c r="C65">
        <v>32059</v>
      </c>
      <c r="D65">
        <v>31</v>
      </c>
      <c r="E65" t="s">
        <v>1</v>
      </c>
      <c r="F65" t="s">
        <v>1</v>
      </c>
      <c r="G65">
        <v>3</v>
      </c>
      <c r="H65">
        <v>4831</v>
      </c>
      <c r="I65">
        <v>4345</v>
      </c>
      <c r="J65">
        <f t="shared" si="1"/>
        <v>89.939971020492649</v>
      </c>
      <c r="K65">
        <v>916</v>
      </c>
      <c r="L65">
        <v>116</v>
      </c>
      <c r="M65">
        <v>800</v>
      </c>
      <c r="N65">
        <v>8912</v>
      </c>
      <c r="O65">
        <v>17930</v>
      </c>
      <c r="P65">
        <v>1981</v>
      </c>
      <c r="Q65">
        <f t="shared" si="2"/>
        <v>130.85714285714286</v>
      </c>
      <c r="R65">
        <f t="shared" si="3"/>
        <v>16.571428571428573</v>
      </c>
      <c r="S65">
        <f t="shared" si="4"/>
        <v>114.28571428571429</v>
      </c>
      <c r="T65">
        <f t="shared" si="5"/>
        <v>1273.1428571428571</v>
      </c>
      <c r="U65">
        <f t="shared" si="6"/>
        <v>2561.4285714285716</v>
      </c>
      <c r="V65">
        <f t="shared" si="7"/>
        <v>283</v>
      </c>
      <c r="W65">
        <f t="shared" si="8"/>
        <v>3.011671872431366</v>
      </c>
      <c r="X65">
        <f t="shared" si="9"/>
        <v>0.38139076113759662</v>
      </c>
      <c r="Y65">
        <f t="shared" si="10"/>
        <v>2.6302811112937698</v>
      </c>
      <c r="Z65">
        <f t="shared" si="11"/>
        <v>29.30133157981259</v>
      </c>
      <c r="AA65">
        <f t="shared" si="12"/>
        <v>58.951175406871613</v>
      </c>
      <c r="AB65">
        <f t="shared" si="13"/>
        <v>6.5132336018411969</v>
      </c>
    </row>
    <row r="66" spans="1:28" x14ac:dyDescent="0.3">
      <c r="A66">
        <v>232</v>
      </c>
      <c r="B66" t="s">
        <v>68</v>
      </c>
      <c r="C66">
        <v>32060</v>
      </c>
      <c r="D66">
        <v>34</v>
      </c>
      <c r="E66" t="s">
        <v>12</v>
      </c>
      <c r="F66" t="s">
        <v>1</v>
      </c>
      <c r="G66">
        <v>3</v>
      </c>
      <c r="H66">
        <v>1726</v>
      </c>
      <c r="I66">
        <v>1339</v>
      </c>
      <c r="J66">
        <f t="shared" si="1"/>
        <v>77.578215527230583</v>
      </c>
      <c r="K66">
        <v>961</v>
      </c>
      <c r="L66">
        <v>196</v>
      </c>
      <c r="M66">
        <v>765</v>
      </c>
      <c r="N66">
        <v>3576</v>
      </c>
      <c r="O66">
        <v>2915</v>
      </c>
      <c r="P66">
        <v>1869</v>
      </c>
      <c r="Q66">
        <f t="shared" si="2"/>
        <v>137.28571428571428</v>
      </c>
      <c r="R66">
        <f t="shared" si="3"/>
        <v>28</v>
      </c>
      <c r="S66">
        <f t="shared" si="4"/>
        <v>109.28571428571429</v>
      </c>
      <c r="T66">
        <f t="shared" si="5"/>
        <v>510.85714285714283</v>
      </c>
      <c r="U66">
        <f t="shared" si="6"/>
        <v>416.42857142857144</v>
      </c>
      <c r="V66">
        <f t="shared" si="7"/>
        <v>267</v>
      </c>
      <c r="W66">
        <f t="shared" si="8"/>
        <v>10.25285394217433</v>
      </c>
      <c r="X66">
        <f t="shared" si="9"/>
        <v>2.0911127707244215</v>
      </c>
      <c r="Y66">
        <f t="shared" si="10"/>
        <v>8.1617411714499095</v>
      </c>
      <c r="Z66">
        <f t="shared" si="11"/>
        <v>38.152139123012908</v>
      </c>
      <c r="AA66">
        <f t="shared" si="12"/>
        <v>31.09996799317188</v>
      </c>
      <c r="AB66">
        <f t="shared" si="13"/>
        <v>19.940253920836444</v>
      </c>
    </row>
    <row r="67" spans="1:28" x14ac:dyDescent="0.3">
      <c r="A67">
        <v>233</v>
      </c>
      <c r="B67" t="s">
        <v>69</v>
      </c>
      <c r="C67">
        <v>32061</v>
      </c>
      <c r="D67">
        <v>28</v>
      </c>
      <c r="E67" t="s">
        <v>15</v>
      </c>
      <c r="F67" t="s">
        <v>1</v>
      </c>
      <c r="G67">
        <v>3</v>
      </c>
      <c r="H67">
        <v>2347</v>
      </c>
      <c r="I67">
        <v>2024</v>
      </c>
      <c r="J67">
        <f t="shared" si="1"/>
        <v>86.237750319556881</v>
      </c>
      <c r="K67">
        <v>0</v>
      </c>
      <c r="L67">
        <v>0</v>
      </c>
      <c r="M67">
        <v>0</v>
      </c>
      <c r="N67">
        <v>11190</v>
      </c>
      <c r="O67">
        <v>2580</v>
      </c>
      <c r="P67">
        <v>403</v>
      </c>
      <c r="Q67">
        <f t="shared" si="2"/>
        <v>0</v>
      </c>
      <c r="R67">
        <f t="shared" si="3"/>
        <v>0</v>
      </c>
      <c r="S67">
        <f t="shared" si="4"/>
        <v>0</v>
      </c>
      <c r="T67">
        <f t="shared" si="5"/>
        <v>1598.5714285714287</v>
      </c>
      <c r="U67">
        <f t="shared" si="6"/>
        <v>368.57142857142856</v>
      </c>
      <c r="V67">
        <f t="shared" si="7"/>
        <v>57.571428571428569</v>
      </c>
      <c r="W67">
        <f t="shared" si="8"/>
        <v>0</v>
      </c>
      <c r="X67">
        <f t="shared" si="9"/>
        <v>0</v>
      </c>
      <c r="Y67">
        <f t="shared" si="10"/>
        <v>0</v>
      </c>
      <c r="Z67">
        <f t="shared" si="11"/>
        <v>78.980801806888763</v>
      </c>
      <c r="AA67">
        <f t="shared" si="12"/>
        <v>18.21005081874647</v>
      </c>
      <c r="AB67">
        <f t="shared" si="13"/>
        <v>2.8444381705251267</v>
      </c>
    </row>
    <row r="68" spans="1:28" x14ac:dyDescent="0.3">
      <c r="A68">
        <v>234</v>
      </c>
      <c r="B68" t="s">
        <v>70</v>
      </c>
      <c r="C68">
        <v>32062</v>
      </c>
      <c r="D68">
        <v>30</v>
      </c>
      <c r="E68" t="s">
        <v>7</v>
      </c>
      <c r="F68" t="s">
        <v>1</v>
      </c>
      <c r="G68">
        <v>3</v>
      </c>
      <c r="H68">
        <v>1403</v>
      </c>
      <c r="I68">
        <v>1269</v>
      </c>
      <c r="J68">
        <f t="shared" ref="J68:J99" si="14">(I68/H68)*100</f>
        <v>90.449037776193876</v>
      </c>
      <c r="K68">
        <v>1100</v>
      </c>
      <c r="L68">
        <v>0</v>
      </c>
      <c r="M68">
        <v>1100</v>
      </c>
      <c r="N68">
        <v>2498</v>
      </c>
      <c r="O68">
        <v>2960</v>
      </c>
      <c r="P68">
        <v>1305</v>
      </c>
      <c r="Q68">
        <f t="shared" ref="Q68:Q99" si="15">K68/7</f>
        <v>157.14285714285714</v>
      </c>
      <c r="R68">
        <f t="shared" ref="R68:R99" si="16">L68/7</f>
        <v>0</v>
      </c>
      <c r="S68">
        <f t="shared" ref="S68:S99" si="17">M68/7</f>
        <v>157.14285714285714</v>
      </c>
      <c r="T68">
        <f t="shared" ref="T68:T99" si="18">N68/7</f>
        <v>356.85714285714283</v>
      </c>
      <c r="U68">
        <f t="shared" ref="U68:U99" si="19">O68/7</f>
        <v>422.85714285714283</v>
      </c>
      <c r="V68">
        <f t="shared" ref="V68:V99" si="20">P68/7</f>
        <v>186.42857142857142</v>
      </c>
      <c r="W68">
        <f t="shared" ref="W68:W99" si="21">(Q68/I68)*100</f>
        <v>12.383203872565575</v>
      </c>
      <c r="X68">
        <f t="shared" ref="X68:X99" si="22">(R68/I68)*100</f>
        <v>0</v>
      </c>
      <c r="Y68">
        <f t="shared" ref="Y68:Y99" si="23">(S68/I68)*100</f>
        <v>12.383203872565575</v>
      </c>
      <c r="Z68">
        <f t="shared" ref="Z68:Z99" si="24">(T68/I68)*100</f>
        <v>28.121130248789822</v>
      </c>
      <c r="AA68">
        <f t="shared" ref="AA68:AA99" si="25">(U68/I68)*100</f>
        <v>33.322075875267366</v>
      </c>
      <c r="AB68">
        <f t="shared" ref="AB68:AB99" si="26">(V68/I68)*100</f>
        <v>14.690982776089159</v>
      </c>
    </row>
    <row r="69" spans="1:28" x14ac:dyDescent="0.3">
      <c r="A69">
        <v>235</v>
      </c>
      <c r="B69" t="s">
        <v>31</v>
      </c>
      <c r="C69">
        <v>32063</v>
      </c>
      <c r="D69">
        <v>32</v>
      </c>
      <c r="E69" t="s">
        <v>31</v>
      </c>
      <c r="F69" t="s">
        <v>1</v>
      </c>
      <c r="G69">
        <v>3</v>
      </c>
      <c r="H69">
        <v>3599</v>
      </c>
      <c r="I69">
        <v>1846</v>
      </c>
      <c r="J69">
        <f t="shared" si="14"/>
        <v>51.292025562656299</v>
      </c>
      <c r="K69">
        <v>2677</v>
      </c>
      <c r="L69">
        <v>1271</v>
      </c>
      <c r="M69">
        <v>1406</v>
      </c>
      <c r="N69">
        <v>6841</v>
      </c>
      <c r="O69">
        <v>2782</v>
      </c>
      <c r="P69">
        <v>609</v>
      </c>
      <c r="Q69">
        <f t="shared" si="15"/>
        <v>382.42857142857144</v>
      </c>
      <c r="R69">
        <f t="shared" si="16"/>
        <v>181.57142857142858</v>
      </c>
      <c r="S69">
        <f t="shared" si="17"/>
        <v>200.85714285714286</v>
      </c>
      <c r="T69">
        <f t="shared" si="18"/>
        <v>977.28571428571433</v>
      </c>
      <c r="U69">
        <f t="shared" si="19"/>
        <v>397.42857142857144</v>
      </c>
      <c r="V69">
        <f t="shared" si="20"/>
        <v>87</v>
      </c>
      <c r="W69">
        <f t="shared" si="21"/>
        <v>20.716607336325644</v>
      </c>
      <c r="X69">
        <f t="shared" si="22"/>
        <v>9.8359387091781461</v>
      </c>
      <c r="Y69">
        <f t="shared" si="23"/>
        <v>10.8806686271475</v>
      </c>
      <c r="Z69">
        <f t="shared" si="24"/>
        <v>52.940721250580417</v>
      </c>
      <c r="AA69">
        <f t="shared" si="25"/>
        <v>21.529175050301813</v>
      </c>
      <c r="AB69">
        <f t="shared" si="26"/>
        <v>4.7128927410617552</v>
      </c>
    </row>
    <row r="70" spans="1:28" x14ac:dyDescent="0.3">
      <c r="A70">
        <v>236</v>
      </c>
      <c r="B70" t="s">
        <v>71</v>
      </c>
      <c r="C70">
        <v>32064</v>
      </c>
      <c r="D70">
        <v>29</v>
      </c>
      <c r="E70" t="s">
        <v>19</v>
      </c>
      <c r="F70" t="s">
        <v>1</v>
      </c>
      <c r="G70">
        <v>3</v>
      </c>
      <c r="H70">
        <v>646</v>
      </c>
      <c r="I70">
        <v>618</v>
      </c>
      <c r="J70">
        <f t="shared" si="14"/>
        <v>95.6656346749226</v>
      </c>
      <c r="K70">
        <v>0</v>
      </c>
      <c r="L70">
        <v>0</v>
      </c>
      <c r="M70">
        <v>0</v>
      </c>
      <c r="N70">
        <v>2977</v>
      </c>
      <c r="O70">
        <v>923</v>
      </c>
      <c r="P70">
        <v>426</v>
      </c>
      <c r="Q70">
        <f t="shared" si="15"/>
        <v>0</v>
      </c>
      <c r="R70">
        <f t="shared" si="16"/>
        <v>0</v>
      </c>
      <c r="S70">
        <f t="shared" si="17"/>
        <v>0</v>
      </c>
      <c r="T70">
        <f t="shared" si="18"/>
        <v>425.28571428571428</v>
      </c>
      <c r="U70">
        <f t="shared" si="19"/>
        <v>131.85714285714286</v>
      </c>
      <c r="V70">
        <f t="shared" si="20"/>
        <v>60.857142857142854</v>
      </c>
      <c r="W70">
        <f t="shared" si="21"/>
        <v>0</v>
      </c>
      <c r="X70">
        <f t="shared" si="22"/>
        <v>0</v>
      </c>
      <c r="Y70">
        <f t="shared" si="23"/>
        <v>0</v>
      </c>
      <c r="Z70">
        <f t="shared" si="24"/>
        <v>68.816458622283861</v>
      </c>
      <c r="AA70">
        <f t="shared" si="25"/>
        <v>21.336107258437355</v>
      </c>
      <c r="AB70">
        <f t="shared" si="26"/>
        <v>9.8474341192787787</v>
      </c>
    </row>
    <row r="71" spans="1:28" x14ac:dyDescent="0.3">
      <c r="A71">
        <v>237</v>
      </c>
      <c r="B71" t="s">
        <v>72</v>
      </c>
      <c r="C71">
        <v>32065</v>
      </c>
      <c r="D71">
        <v>28</v>
      </c>
      <c r="E71" t="s">
        <v>15</v>
      </c>
      <c r="F71" t="s">
        <v>1</v>
      </c>
      <c r="G71">
        <v>3</v>
      </c>
      <c r="H71">
        <v>1342</v>
      </c>
      <c r="I71">
        <v>927</v>
      </c>
      <c r="J71">
        <f t="shared" si="14"/>
        <v>69.076005961251866</v>
      </c>
      <c r="K71">
        <v>2564</v>
      </c>
      <c r="L71">
        <v>1051</v>
      </c>
      <c r="M71">
        <v>1513</v>
      </c>
      <c r="N71">
        <v>2789</v>
      </c>
      <c r="O71">
        <v>737</v>
      </c>
      <c r="P71">
        <v>666</v>
      </c>
      <c r="Q71">
        <f t="shared" si="15"/>
        <v>366.28571428571428</v>
      </c>
      <c r="R71">
        <f t="shared" si="16"/>
        <v>150.14285714285714</v>
      </c>
      <c r="S71">
        <f t="shared" si="17"/>
        <v>216.14285714285714</v>
      </c>
      <c r="T71">
        <f t="shared" si="18"/>
        <v>398.42857142857144</v>
      </c>
      <c r="U71">
        <f t="shared" si="19"/>
        <v>105.28571428571429</v>
      </c>
      <c r="V71">
        <f t="shared" si="20"/>
        <v>95.142857142857139</v>
      </c>
      <c r="W71">
        <f t="shared" si="21"/>
        <v>39.513022037293879</v>
      </c>
      <c r="X71">
        <f t="shared" si="22"/>
        <v>16.196640468485128</v>
      </c>
      <c r="Y71">
        <f t="shared" si="23"/>
        <v>23.316381568808751</v>
      </c>
      <c r="Z71">
        <f t="shared" si="24"/>
        <v>42.980428417321626</v>
      </c>
      <c r="AA71">
        <f t="shared" si="25"/>
        <v>11.35768223146864</v>
      </c>
      <c r="AB71">
        <f t="shared" si="26"/>
        <v>10.263522884882107</v>
      </c>
    </row>
    <row r="72" spans="1:28" x14ac:dyDescent="0.3">
      <c r="A72">
        <v>238</v>
      </c>
      <c r="B72" t="s">
        <v>73</v>
      </c>
      <c r="C72">
        <v>32066</v>
      </c>
      <c r="D72">
        <v>29</v>
      </c>
      <c r="E72" t="s">
        <v>19</v>
      </c>
      <c r="F72" t="s">
        <v>1</v>
      </c>
      <c r="G72">
        <v>3</v>
      </c>
      <c r="H72">
        <v>1420</v>
      </c>
      <c r="I72">
        <v>737</v>
      </c>
      <c r="J72">
        <f t="shared" si="14"/>
        <v>51.901408450704224</v>
      </c>
      <c r="K72">
        <v>1609</v>
      </c>
      <c r="L72">
        <v>916</v>
      </c>
      <c r="M72">
        <v>693</v>
      </c>
      <c r="N72">
        <v>2215</v>
      </c>
      <c r="O72">
        <v>1081</v>
      </c>
      <c r="P72">
        <v>174</v>
      </c>
      <c r="Q72">
        <f t="shared" si="15"/>
        <v>229.85714285714286</v>
      </c>
      <c r="R72">
        <f t="shared" si="16"/>
        <v>130.85714285714286</v>
      </c>
      <c r="S72">
        <f t="shared" si="17"/>
        <v>99</v>
      </c>
      <c r="T72">
        <f t="shared" si="18"/>
        <v>316.42857142857144</v>
      </c>
      <c r="U72">
        <f t="shared" si="19"/>
        <v>154.42857142857142</v>
      </c>
      <c r="V72">
        <f t="shared" si="20"/>
        <v>24.857142857142858</v>
      </c>
      <c r="W72">
        <f t="shared" si="21"/>
        <v>31.188214770304324</v>
      </c>
      <c r="X72">
        <f t="shared" si="22"/>
        <v>17.755378949408801</v>
      </c>
      <c r="Y72">
        <f t="shared" si="23"/>
        <v>13.432835820895523</v>
      </c>
      <c r="Z72">
        <f t="shared" si="24"/>
        <v>42.934677263035475</v>
      </c>
      <c r="AA72">
        <f t="shared" si="25"/>
        <v>20.953673192479162</v>
      </c>
      <c r="AB72">
        <f t="shared" si="26"/>
        <v>3.3727466563287463</v>
      </c>
    </row>
    <row r="73" spans="1:28" x14ac:dyDescent="0.3">
      <c r="A73">
        <v>239</v>
      </c>
      <c r="B73" t="s">
        <v>74</v>
      </c>
      <c r="C73">
        <v>32067</v>
      </c>
      <c r="D73">
        <v>30</v>
      </c>
      <c r="E73" t="s">
        <v>7</v>
      </c>
      <c r="F73" t="s">
        <v>1</v>
      </c>
      <c r="G73">
        <v>3</v>
      </c>
      <c r="H73">
        <v>2769</v>
      </c>
      <c r="I73">
        <v>1245</v>
      </c>
      <c r="J73">
        <f t="shared" si="14"/>
        <v>44.962080173347779</v>
      </c>
      <c r="K73">
        <v>1266</v>
      </c>
      <c r="L73">
        <v>493</v>
      </c>
      <c r="M73">
        <v>773</v>
      </c>
      <c r="N73">
        <v>4214</v>
      </c>
      <c r="O73">
        <v>2041</v>
      </c>
      <c r="P73">
        <v>335</v>
      </c>
      <c r="Q73">
        <f t="shared" si="15"/>
        <v>180.85714285714286</v>
      </c>
      <c r="R73">
        <f t="shared" si="16"/>
        <v>70.428571428571431</v>
      </c>
      <c r="S73">
        <f t="shared" si="17"/>
        <v>110.42857142857143</v>
      </c>
      <c r="T73">
        <f t="shared" si="18"/>
        <v>602</v>
      </c>
      <c r="U73">
        <f t="shared" si="19"/>
        <v>291.57142857142856</v>
      </c>
      <c r="V73">
        <f t="shared" si="20"/>
        <v>47.857142857142854</v>
      </c>
      <c r="W73">
        <f t="shared" si="21"/>
        <v>14.526678141135974</v>
      </c>
      <c r="X73">
        <f t="shared" si="22"/>
        <v>5.6569133677567409</v>
      </c>
      <c r="Y73">
        <f t="shared" si="23"/>
        <v>8.8697647733792309</v>
      </c>
      <c r="Z73">
        <f t="shared" si="24"/>
        <v>48.353413654618471</v>
      </c>
      <c r="AA73">
        <f t="shared" si="25"/>
        <v>23.419391853126793</v>
      </c>
      <c r="AB73">
        <f t="shared" si="26"/>
        <v>3.8439472174411931</v>
      </c>
    </row>
    <row r="74" spans="1:28" x14ac:dyDescent="0.3">
      <c r="A74">
        <v>240</v>
      </c>
      <c r="B74" t="s">
        <v>75</v>
      </c>
      <c r="C74">
        <v>32068</v>
      </c>
      <c r="D74">
        <v>29</v>
      </c>
      <c r="E74" t="s">
        <v>19</v>
      </c>
      <c r="F74" t="s">
        <v>1</v>
      </c>
      <c r="G74">
        <v>3</v>
      </c>
      <c r="H74">
        <v>3320</v>
      </c>
      <c r="I74">
        <v>3139</v>
      </c>
      <c r="J74">
        <f t="shared" si="14"/>
        <v>94.548192771084345</v>
      </c>
      <c r="K74">
        <v>6291</v>
      </c>
      <c r="L74">
        <v>2841</v>
      </c>
      <c r="M74">
        <v>3450</v>
      </c>
      <c r="N74">
        <v>7827</v>
      </c>
      <c r="O74">
        <v>5265</v>
      </c>
      <c r="P74">
        <v>1525</v>
      </c>
      <c r="Q74">
        <f t="shared" si="15"/>
        <v>898.71428571428567</v>
      </c>
      <c r="R74">
        <f t="shared" si="16"/>
        <v>405.85714285714283</v>
      </c>
      <c r="S74">
        <f t="shared" si="17"/>
        <v>492.85714285714283</v>
      </c>
      <c r="T74">
        <f t="shared" si="18"/>
        <v>1118.1428571428571</v>
      </c>
      <c r="U74">
        <f t="shared" si="19"/>
        <v>752.14285714285711</v>
      </c>
      <c r="V74">
        <f t="shared" si="20"/>
        <v>217.85714285714286</v>
      </c>
      <c r="W74">
        <f t="shared" si="21"/>
        <v>28.630592090292627</v>
      </c>
      <c r="X74">
        <f t="shared" si="22"/>
        <v>12.929504391753516</v>
      </c>
      <c r="Y74">
        <f t="shared" si="23"/>
        <v>15.701087698539116</v>
      </c>
      <c r="Z74">
        <f t="shared" si="24"/>
        <v>35.620989396077</v>
      </c>
      <c r="AA74">
        <f t="shared" si="25"/>
        <v>23.961225139944474</v>
      </c>
      <c r="AB74">
        <f t="shared" si="26"/>
        <v>6.9403358667455519</v>
      </c>
    </row>
    <row r="75" spans="1:28" x14ac:dyDescent="0.3">
      <c r="A75">
        <v>241</v>
      </c>
      <c r="B75" t="s">
        <v>4</v>
      </c>
      <c r="C75">
        <v>32069</v>
      </c>
      <c r="D75">
        <v>33</v>
      </c>
      <c r="E75" t="s">
        <v>4</v>
      </c>
      <c r="F75" t="s">
        <v>1</v>
      </c>
      <c r="G75">
        <v>3</v>
      </c>
      <c r="H75">
        <v>3921</v>
      </c>
      <c r="I75">
        <v>2413</v>
      </c>
      <c r="J75">
        <f t="shared" si="14"/>
        <v>61.540423361387397</v>
      </c>
      <c r="K75">
        <v>6861</v>
      </c>
      <c r="L75">
        <v>3918</v>
      </c>
      <c r="M75">
        <v>2943</v>
      </c>
      <c r="N75">
        <v>8907</v>
      </c>
      <c r="O75">
        <v>689</v>
      </c>
      <c r="P75">
        <v>355</v>
      </c>
      <c r="Q75">
        <f t="shared" si="15"/>
        <v>980.14285714285711</v>
      </c>
      <c r="R75">
        <f t="shared" si="16"/>
        <v>559.71428571428567</v>
      </c>
      <c r="S75">
        <f t="shared" si="17"/>
        <v>420.42857142857144</v>
      </c>
      <c r="T75">
        <f t="shared" si="18"/>
        <v>1272.4285714285713</v>
      </c>
      <c r="U75">
        <f t="shared" si="19"/>
        <v>98.428571428571431</v>
      </c>
      <c r="V75">
        <f t="shared" si="20"/>
        <v>50.714285714285715</v>
      </c>
      <c r="W75">
        <f t="shared" si="21"/>
        <v>40.619264697176014</v>
      </c>
      <c r="X75">
        <f t="shared" si="22"/>
        <v>23.195784737434135</v>
      </c>
      <c r="Y75">
        <f t="shared" si="23"/>
        <v>17.423479959741876</v>
      </c>
      <c r="Z75">
        <f t="shared" si="24"/>
        <v>52.732224261440997</v>
      </c>
      <c r="AA75">
        <f t="shared" si="25"/>
        <v>4.0790953762358653</v>
      </c>
      <c r="AB75">
        <f t="shared" si="26"/>
        <v>2.101710970339234</v>
      </c>
    </row>
    <row r="76" spans="1:28" x14ac:dyDescent="0.3">
      <c r="A76">
        <v>242</v>
      </c>
      <c r="B76" t="s">
        <v>76</v>
      </c>
      <c r="C76">
        <v>32070</v>
      </c>
      <c r="D76">
        <v>32</v>
      </c>
      <c r="E76" t="s">
        <v>31</v>
      </c>
      <c r="F76" t="s">
        <v>1</v>
      </c>
      <c r="G76">
        <v>3</v>
      </c>
      <c r="H76">
        <v>2380</v>
      </c>
      <c r="I76">
        <v>1009</v>
      </c>
      <c r="J76">
        <f t="shared" si="14"/>
        <v>42.394957983193279</v>
      </c>
      <c r="K76">
        <v>1367</v>
      </c>
      <c r="L76">
        <v>750</v>
      </c>
      <c r="M76">
        <v>617</v>
      </c>
      <c r="N76">
        <v>3615</v>
      </c>
      <c r="O76">
        <v>1429</v>
      </c>
      <c r="P76">
        <v>497</v>
      </c>
      <c r="Q76">
        <f t="shared" si="15"/>
        <v>195.28571428571428</v>
      </c>
      <c r="R76">
        <f t="shared" si="16"/>
        <v>107.14285714285714</v>
      </c>
      <c r="S76">
        <f t="shared" si="17"/>
        <v>88.142857142857139</v>
      </c>
      <c r="T76">
        <f t="shared" si="18"/>
        <v>516.42857142857144</v>
      </c>
      <c r="U76">
        <f t="shared" si="19"/>
        <v>204.14285714285714</v>
      </c>
      <c r="V76">
        <f t="shared" si="20"/>
        <v>71</v>
      </c>
      <c r="W76">
        <f t="shared" si="21"/>
        <v>19.354381990655529</v>
      </c>
      <c r="X76">
        <f t="shared" si="22"/>
        <v>10.618717258955119</v>
      </c>
      <c r="Y76">
        <f t="shared" si="23"/>
        <v>8.7356647317004104</v>
      </c>
      <c r="Z76">
        <f t="shared" si="24"/>
        <v>51.182217188163669</v>
      </c>
      <c r="AA76">
        <f t="shared" si="25"/>
        <v>20.23219595072915</v>
      </c>
      <c r="AB76">
        <f t="shared" si="26"/>
        <v>7.0366699702675923</v>
      </c>
    </row>
    <row r="77" spans="1:28" x14ac:dyDescent="0.3">
      <c r="A77">
        <v>243</v>
      </c>
      <c r="B77" t="s">
        <v>77</v>
      </c>
      <c r="C77">
        <v>32071</v>
      </c>
      <c r="D77">
        <v>35</v>
      </c>
      <c r="E77" t="s">
        <v>29</v>
      </c>
      <c r="F77" t="s">
        <v>1</v>
      </c>
      <c r="G77">
        <v>3</v>
      </c>
      <c r="H77">
        <v>3316</v>
      </c>
      <c r="I77">
        <v>2988</v>
      </c>
      <c r="J77">
        <f t="shared" si="14"/>
        <v>90.108564535585046</v>
      </c>
      <c r="K77">
        <v>4280</v>
      </c>
      <c r="L77">
        <v>971</v>
      </c>
      <c r="M77">
        <v>3309</v>
      </c>
      <c r="N77">
        <v>7014</v>
      </c>
      <c r="O77">
        <v>9380</v>
      </c>
      <c r="P77">
        <v>236</v>
      </c>
      <c r="Q77">
        <f t="shared" si="15"/>
        <v>611.42857142857144</v>
      </c>
      <c r="R77">
        <f t="shared" si="16"/>
        <v>138.71428571428572</v>
      </c>
      <c r="S77">
        <f t="shared" si="17"/>
        <v>472.71428571428572</v>
      </c>
      <c r="T77">
        <f t="shared" si="18"/>
        <v>1002</v>
      </c>
      <c r="U77">
        <f t="shared" si="19"/>
        <v>1340</v>
      </c>
      <c r="V77">
        <f t="shared" si="20"/>
        <v>33.714285714285715</v>
      </c>
      <c r="W77">
        <f t="shared" si="21"/>
        <v>20.462803595333718</v>
      </c>
      <c r="X77">
        <f t="shared" si="22"/>
        <v>4.6423790399694012</v>
      </c>
      <c r="Y77">
        <f t="shared" si="23"/>
        <v>15.820424555364315</v>
      </c>
      <c r="Z77">
        <f t="shared" si="24"/>
        <v>33.53413654618474</v>
      </c>
      <c r="AA77">
        <f t="shared" si="25"/>
        <v>44.846050870147259</v>
      </c>
      <c r="AB77">
        <f t="shared" si="26"/>
        <v>1.128322815069803</v>
      </c>
    </row>
    <row r="78" spans="1:28" x14ac:dyDescent="0.3">
      <c r="A78">
        <v>244</v>
      </c>
      <c r="B78" t="s">
        <v>78</v>
      </c>
      <c r="C78">
        <v>32072</v>
      </c>
      <c r="D78">
        <v>34</v>
      </c>
      <c r="E78" t="s">
        <v>12</v>
      </c>
      <c r="F78" t="s">
        <v>1</v>
      </c>
      <c r="G78">
        <v>3</v>
      </c>
      <c r="H78">
        <v>2180</v>
      </c>
      <c r="I78">
        <v>1046</v>
      </c>
      <c r="J78">
        <f t="shared" si="14"/>
        <v>47.981651376146786</v>
      </c>
      <c r="K78">
        <v>2724</v>
      </c>
      <c r="L78">
        <v>1445</v>
      </c>
      <c r="M78">
        <v>1279</v>
      </c>
      <c r="N78">
        <v>3264</v>
      </c>
      <c r="O78">
        <v>685</v>
      </c>
      <c r="P78">
        <v>584</v>
      </c>
      <c r="Q78">
        <f t="shared" si="15"/>
        <v>389.14285714285717</v>
      </c>
      <c r="R78">
        <f t="shared" si="16"/>
        <v>206.42857142857142</v>
      </c>
      <c r="S78">
        <f t="shared" si="17"/>
        <v>182.71428571428572</v>
      </c>
      <c r="T78">
        <f t="shared" si="18"/>
        <v>466.28571428571428</v>
      </c>
      <c r="U78">
        <f t="shared" si="19"/>
        <v>97.857142857142861</v>
      </c>
      <c r="V78">
        <f t="shared" si="20"/>
        <v>83.428571428571431</v>
      </c>
      <c r="W78">
        <f t="shared" si="21"/>
        <v>37.202950013657471</v>
      </c>
      <c r="X78">
        <f t="shared" si="22"/>
        <v>19.735045069653097</v>
      </c>
      <c r="Y78">
        <f t="shared" si="23"/>
        <v>17.467904944004371</v>
      </c>
      <c r="Z78">
        <f t="shared" si="24"/>
        <v>44.577984157334058</v>
      </c>
      <c r="AA78">
        <f t="shared" si="25"/>
        <v>9.3553673859601201</v>
      </c>
      <c r="AB78">
        <f t="shared" si="26"/>
        <v>7.9759628516798688</v>
      </c>
    </row>
    <row r="79" spans="1:28" x14ac:dyDescent="0.3">
      <c r="A79">
        <v>245</v>
      </c>
      <c r="B79" t="s">
        <v>79</v>
      </c>
      <c r="C79">
        <v>32073</v>
      </c>
      <c r="D79">
        <v>34</v>
      </c>
      <c r="E79" t="s">
        <v>12</v>
      </c>
      <c r="F79" t="s">
        <v>1</v>
      </c>
      <c r="G79">
        <v>3</v>
      </c>
      <c r="H79">
        <v>1465</v>
      </c>
      <c r="I79">
        <v>835</v>
      </c>
      <c r="J79">
        <f t="shared" si="14"/>
        <v>56.996587030716725</v>
      </c>
      <c r="K79">
        <v>3273</v>
      </c>
      <c r="L79">
        <v>1826</v>
      </c>
      <c r="M79">
        <v>1447</v>
      </c>
      <c r="N79">
        <v>1230</v>
      </c>
      <c r="O79">
        <v>719</v>
      </c>
      <c r="P79">
        <v>551</v>
      </c>
      <c r="Q79">
        <f t="shared" si="15"/>
        <v>467.57142857142856</v>
      </c>
      <c r="R79">
        <f t="shared" si="16"/>
        <v>260.85714285714283</v>
      </c>
      <c r="S79">
        <f t="shared" si="17"/>
        <v>206.71428571428572</v>
      </c>
      <c r="T79">
        <f t="shared" si="18"/>
        <v>175.71428571428572</v>
      </c>
      <c r="U79">
        <f t="shared" si="19"/>
        <v>102.71428571428571</v>
      </c>
      <c r="V79">
        <f t="shared" si="20"/>
        <v>78.714285714285708</v>
      </c>
      <c r="W79">
        <f t="shared" si="21"/>
        <v>55.996578272027378</v>
      </c>
      <c r="X79">
        <f t="shared" si="22"/>
        <v>31.240376390076985</v>
      </c>
      <c r="Y79">
        <f t="shared" si="23"/>
        <v>24.756201881950386</v>
      </c>
      <c r="Z79">
        <f t="shared" si="24"/>
        <v>21.043627031650985</v>
      </c>
      <c r="AA79">
        <f t="shared" si="25"/>
        <v>12.301112061591104</v>
      </c>
      <c r="AB79">
        <f t="shared" si="26"/>
        <v>9.4268605645851142</v>
      </c>
    </row>
    <row r="80" spans="1:28" x14ac:dyDescent="0.3">
      <c r="A80">
        <v>246</v>
      </c>
      <c r="B80" t="s">
        <v>80</v>
      </c>
      <c r="C80">
        <v>32074</v>
      </c>
      <c r="D80">
        <v>28</v>
      </c>
      <c r="E80" t="s">
        <v>15</v>
      </c>
      <c r="F80" t="s">
        <v>1</v>
      </c>
      <c r="G80">
        <v>3</v>
      </c>
      <c r="H80">
        <v>1761</v>
      </c>
      <c r="I80">
        <v>1582</v>
      </c>
      <c r="J80">
        <f t="shared" si="14"/>
        <v>89.835320840431578</v>
      </c>
      <c r="K80">
        <v>730</v>
      </c>
      <c r="L80">
        <v>143</v>
      </c>
      <c r="M80">
        <v>587</v>
      </c>
      <c r="N80">
        <v>7694</v>
      </c>
      <c r="O80">
        <v>2878</v>
      </c>
      <c r="P80">
        <v>0</v>
      </c>
      <c r="Q80">
        <f t="shared" si="15"/>
        <v>104.28571428571429</v>
      </c>
      <c r="R80">
        <f t="shared" si="16"/>
        <v>20.428571428571427</v>
      </c>
      <c r="S80">
        <f t="shared" si="17"/>
        <v>83.857142857142861</v>
      </c>
      <c r="T80">
        <f t="shared" si="18"/>
        <v>1099.1428571428571</v>
      </c>
      <c r="U80">
        <f t="shared" si="19"/>
        <v>411.14285714285717</v>
      </c>
      <c r="V80">
        <f t="shared" si="20"/>
        <v>0</v>
      </c>
      <c r="W80">
        <f t="shared" si="21"/>
        <v>6.5920173379086151</v>
      </c>
      <c r="X80">
        <f t="shared" si="22"/>
        <v>1.2913129853711396</v>
      </c>
      <c r="Y80">
        <f t="shared" si="23"/>
        <v>5.3007043525374753</v>
      </c>
      <c r="Z80">
        <f t="shared" si="24"/>
        <v>69.478056709409429</v>
      </c>
      <c r="AA80">
        <f t="shared" si="25"/>
        <v>25.988802600686295</v>
      </c>
      <c r="AB80">
        <f t="shared" si="26"/>
        <v>0</v>
      </c>
    </row>
    <row r="81" spans="1:28" x14ac:dyDescent="0.3">
      <c r="A81">
        <v>247</v>
      </c>
      <c r="B81" t="s">
        <v>81</v>
      </c>
      <c r="C81">
        <v>32075</v>
      </c>
      <c r="D81">
        <v>31</v>
      </c>
      <c r="E81" t="s">
        <v>1</v>
      </c>
      <c r="F81" t="s">
        <v>1</v>
      </c>
      <c r="G81">
        <v>3</v>
      </c>
      <c r="H81">
        <v>2405</v>
      </c>
      <c r="I81">
        <v>1018</v>
      </c>
      <c r="J81">
        <f t="shared" si="14"/>
        <v>42.32848232848233</v>
      </c>
      <c r="K81">
        <v>2839</v>
      </c>
      <c r="L81">
        <v>1556</v>
      </c>
      <c r="M81">
        <v>1283</v>
      </c>
      <c r="N81">
        <v>2840</v>
      </c>
      <c r="O81">
        <v>816</v>
      </c>
      <c r="P81">
        <v>469</v>
      </c>
      <c r="Q81">
        <f t="shared" si="15"/>
        <v>405.57142857142856</v>
      </c>
      <c r="R81">
        <f t="shared" si="16"/>
        <v>222.28571428571428</v>
      </c>
      <c r="S81">
        <f t="shared" si="17"/>
        <v>183.28571428571428</v>
      </c>
      <c r="T81">
        <f t="shared" si="18"/>
        <v>405.71428571428572</v>
      </c>
      <c r="U81">
        <f t="shared" si="19"/>
        <v>116.57142857142857</v>
      </c>
      <c r="V81">
        <f t="shared" si="20"/>
        <v>67</v>
      </c>
      <c r="W81">
        <f t="shared" si="21"/>
        <v>39.840022452989054</v>
      </c>
      <c r="X81">
        <f t="shared" si="22"/>
        <v>21.835531855178221</v>
      </c>
      <c r="Y81">
        <f t="shared" si="23"/>
        <v>18.004490597810832</v>
      </c>
      <c r="Z81">
        <f t="shared" si="24"/>
        <v>39.85405557114791</v>
      </c>
      <c r="AA81">
        <f t="shared" si="25"/>
        <v>11.451024417625597</v>
      </c>
      <c r="AB81">
        <f t="shared" si="26"/>
        <v>6.581532416502947</v>
      </c>
    </row>
    <row r="82" spans="1:28" x14ac:dyDescent="0.3">
      <c r="A82">
        <v>248</v>
      </c>
      <c r="B82" t="s">
        <v>82</v>
      </c>
      <c r="C82">
        <v>32077</v>
      </c>
      <c r="D82">
        <v>30</v>
      </c>
      <c r="E82" t="s">
        <v>7</v>
      </c>
      <c r="F82" t="s">
        <v>1</v>
      </c>
      <c r="G82">
        <v>3</v>
      </c>
      <c r="H82">
        <v>1872</v>
      </c>
      <c r="I82">
        <v>897</v>
      </c>
      <c r="J82">
        <f t="shared" si="14"/>
        <v>47.916666666666671</v>
      </c>
      <c r="K82">
        <v>1878</v>
      </c>
      <c r="L82">
        <v>1095</v>
      </c>
      <c r="M82">
        <v>783</v>
      </c>
      <c r="N82">
        <v>2170</v>
      </c>
      <c r="O82">
        <v>1018</v>
      </c>
      <c r="P82">
        <v>293</v>
      </c>
      <c r="Q82">
        <f t="shared" si="15"/>
        <v>268.28571428571428</v>
      </c>
      <c r="R82">
        <f t="shared" si="16"/>
        <v>156.42857142857142</v>
      </c>
      <c r="S82">
        <f t="shared" si="17"/>
        <v>111.85714285714286</v>
      </c>
      <c r="T82">
        <f t="shared" si="18"/>
        <v>310</v>
      </c>
      <c r="U82">
        <f t="shared" si="19"/>
        <v>145.42857142857142</v>
      </c>
      <c r="V82">
        <f t="shared" si="20"/>
        <v>41.857142857142854</v>
      </c>
      <c r="W82">
        <f t="shared" si="21"/>
        <v>29.909221213569037</v>
      </c>
      <c r="X82">
        <f t="shared" si="22"/>
        <v>17.439082656473957</v>
      </c>
      <c r="Y82">
        <f t="shared" si="23"/>
        <v>12.47013855709508</v>
      </c>
      <c r="Z82">
        <f t="shared" si="24"/>
        <v>34.559643255295427</v>
      </c>
      <c r="AA82">
        <f t="shared" si="25"/>
        <v>16.212772734511862</v>
      </c>
      <c r="AB82">
        <f t="shared" si="26"/>
        <v>4.6663481446090138</v>
      </c>
    </row>
    <row r="83" spans="1:28" x14ac:dyDescent="0.3">
      <c r="A83">
        <v>249</v>
      </c>
      <c r="B83" t="s">
        <v>83</v>
      </c>
      <c r="C83">
        <v>32078</v>
      </c>
      <c r="D83">
        <v>30</v>
      </c>
      <c r="E83" t="s">
        <v>7</v>
      </c>
      <c r="F83" t="s">
        <v>1</v>
      </c>
      <c r="G83">
        <v>3</v>
      </c>
      <c r="H83">
        <v>2457</v>
      </c>
      <c r="I83">
        <v>2276</v>
      </c>
      <c r="J83">
        <f t="shared" si="14"/>
        <v>92.633292633292626</v>
      </c>
      <c r="K83">
        <v>140</v>
      </c>
      <c r="L83">
        <v>80</v>
      </c>
      <c r="M83">
        <v>60</v>
      </c>
      <c r="N83">
        <v>6472</v>
      </c>
      <c r="O83">
        <v>6710</v>
      </c>
      <c r="P83">
        <v>2610</v>
      </c>
      <c r="Q83">
        <f t="shared" si="15"/>
        <v>20</v>
      </c>
      <c r="R83">
        <f t="shared" si="16"/>
        <v>11.428571428571429</v>
      </c>
      <c r="S83">
        <f t="shared" si="17"/>
        <v>8.5714285714285712</v>
      </c>
      <c r="T83">
        <f t="shared" si="18"/>
        <v>924.57142857142856</v>
      </c>
      <c r="U83">
        <f t="shared" si="19"/>
        <v>958.57142857142856</v>
      </c>
      <c r="V83">
        <f t="shared" si="20"/>
        <v>372.85714285714283</v>
      </c>
      <c r="W83">
        <f t="shared" si="21"/>
        <v>0.87873462214411258</v>
      </c>
      <c r="X83">
        <f t="shared" si="22"/>
        <v>0.50213406979663577</v>
      </c>
      <c r="Y83">
        <f t="shared" si="23"/>
        <v>0.37660055234747675</v>
      </c>
      <c r="Z83">
        <f t="shared" si="24"/>
        <v>40.622646246547831</v>
      </c>
      <c r="AA83">
        <f t="shared" si="25"/>
        <v>42.116495104192822</v>
      </c>
      <c r="AB83">
        <f t="shared" si="26"/>
        <v>16.382124027115239</v>
      </c>
    </row>
    <row r="84" spans="1:28" x14ac:dyDescent="0.3">
      <c r="A84">
        <v>250</v>
      </c>
      <c r="B84" t="s">
        <v>84</v>
      </c>
      <c r="C84">
        <v>32079</v>
      </c>
      <c r="D84">
        <v>26</v>
      </c>
      <c r="E84" t="s">
        <v>0</v>
      </c>
      <c r="F84" t="s">
        <v>1</v>
      </c>
      <c r="G84">
        <v>3</v>
      </c>
      <c r="H84">
        <v>964</v>
      </c>
      <c r="I84">
        <v>851</v>
      </c>
      <c r="J84">
        <f t="shared" si="14"/>
        <v>88.278008298755182</v>
      </c>
      <c r="K84">
        <v>826</v>
      </c>
      <c r="L84">
        <v>415</v>
      </c>
      <c r="M84">
        <v>411</v>
      </c>
      <c r="N84">
        <v>918</v>
      </c>
      <c r="O84">
        <v>1345</v>
      </c>
      <c r="P84">
        <v>2554</v>
      </c>
      <c r="Q84">
        <f t="shared" si="15"/>
        <v>118</v>
      </c>
      <c r="R84">
        <f t="shared" si="16"/>
        <v>59.285714285714285</v>
      </c>
      <c r="S84">
        <f t="shared" si="17"/>
        <v>58.714285714285715</v>
      </c>
      <c r="T84">
        <f t="shared" si="18"/>
        <v>131.14285714285714</v>
      </c>
      <c r="U84">
        <f t="shared" si="19"/>
        <v>192.14285714285714</v>
      </c>
      <c r="V84">
        <f t="shared" si="20"/>
        <v>364.85714285714283</v>
      </c>
      <c r="W84">
        <f t="shared" si="21"/>
        <v>13.866039952996475</v>
      </c>
      <c r="X84">
        <f t="shared" si="22"/>
        <v>6.9665939231156617</v>
      </c>
      <c r="Y84">
        <f t="shared" si="23"/>
        <v>6.8994460298808127</v>
      </c>
      <c r="Z84">
        <f t="shared" si="24"/>
        <v>15.41044149739802</v>
      </c>
      <c r="AA84">
        <f t="shared" si="25"/>
        <v>22.578479100218228</v>
      </c>
      <c r="AB84">
        <f t="shared" si="26"/>
        <v>42.873929830451566</v>
      </c>
    </row>
    <row r="85" spans="1:28" x14ac:dyDescent="0.3">
      <c r="A85">
        <v>251</v>
      </c>
      <c r="B85" t="s">
        <v>85</v>
      </c>
      <c r="C85">
        <v>32080</v>
      </c>
      <c r="D85">
        <v>32</v>
      </c>
      <c r="E85" t="s">
        <v>31</v>
      </c>
      <c r="F85" t="s">
        <v>1</v>
      </c>
      <c r="G85">
        <v>3</v>
      </c>
      <c r="H85">
        <v>1394</v>
      </c>
      <c r="I85">
        <v>803</v>
      </c>
      <c r="J85">
        <f t="shared" si="14"/>
        <v>57.604017216642752</v>
      </c>
      <c r="K85">
        <v>537</v>
      </c>
      <c r="L85">
        <v>296</v>
      </c>
      <c r="M85">
        <v>241</v>
      </c>
      <c r="N85">
        <v>2507</v>
      </c>
      <c r="O85">
        <v>1759</v>
      </c>
      <c r="P85">
        <v>820</v>
      </c>
      <c r="Q85">
        <f t="shared" si="15"/>
        <v>76.714285714285708</v>
      </c>
      <c r="R85">
        <f t="shared" si="16"/>
        <v>42.285714285714285</v>
      </c>
      <c r="S85">
        <f t="shared" si="17"/>
        <v>34.428571428571431</v>
      </c>
      <c r="T85">
        <f t="shared" si="18"/>
        <v>358.14285714285717</v>
      </c>
      <c r="U85">
        <f t="shared" si="19"/>
        <v>251.28571428571428</v>
      </c>
      <c r="V85">
        <f t="shared" si="20"/>
        <v>117.14285714285714</v>
      </c>
      <c r="W85">
        <f t="shared" si="21"/>
        <v>9.5534602383917449</v>
      </c>
      <c r="X85">
        <f t="shared" si="22"/>
        <v>5.2659669098025264</v>
      </c>
      <c r="Y85">
        <f t="shared" si="23"/>
        <v>4.2874933285892194</v>
      </c>
      <c r="Z85">
        <f t="shared" si="24"/>
        <v>44.600604874577485</v>
      </c>
      <c r="AA85">
        <f t="shared" si="25"/>
        <v>31.293364170076497</v>
      </c>
      <c r="AB85">
        <f t="shared" si="26"/>
        <v>14.588151574452942</v>
      </c>
    </row>
    <row r="86" spans="1:28" x14ac:dyDescent="0.3">
      <c r="A86">
        <v>252</v>
      </c>
      <c r="B86" t="s">
        <v>86</v>
      </c>
      <c r="C86">
        <v>32081</v>
      </c>
      <c r="D86">
        <v>31</v>
      </c>
      <c r="E86" t="s">
        <v>1</v>
      </c>
      <c r="F86" t="s">
        <v>1</v>
      </c>
      <c r="G86">
        <v>3</v>
      </c>
      <c r="H86">
        <v>2275</v>
      </c>
      <c r="I86">
        <v>2018</v>
      </c>
      <c r="J86">
        <f t="shared" si="14"/>
        <v>88.703296703296701</v>
      </c>
      <c r="K86">
        <v>75</v>
      </c>
      <c r="L86">
        <v>0</v>
      </c>
      <c r="M86">
        <v>75</v>
      </c>
      <c r="N86">
        <v>7908</v>
      </c>
      <c r="O86">
        <v>3897</v>
      </c>
      <c r="P86">
        <v>1206</v>
      </c>
      <c r="Q86">
        <f t="shared" si="15"/>
        <v>10.714285714285714</v>
      </c>
      <c r="R86">
        <f t="shared" si="16"/>
        <v>0</v>
      </c>
      <c r="S86">
        <f t="shared" si="17"/>
        <v>10.714285714285714</v>
      </c>
      <c r="T86">
        <f t="shared" si="18"/>
        <v>1129.7142857142858</v>
      </c>
      <c r="U86">
        <f t="shared" si="19"/>
        <v>556.71428571428567</v>
      </c>
      <c r="V86">
        <f t="shared" si="20"/>
        <v>172.28571428571428</v>
      </c>
      <c r="W86">
        <f t="shared" si="21"/>
        <v>0.53093586294775585</v>
      </c>
      <c r="X86">
        <f t="shared" si="22"/>
        <v>0</v>
      </c>
      <c r="Y86">
        <f t="shared" si="23"/>
        <v>0.53093586294775585</v>
      </c>
      <c r="Z86">
        <f t="shared" si="24"/>
        <v>55.981877389211391</v>
      </c>
      <c r="AA86">
        <f t="shared" si="25"/>
        <v>27.587427438765395</v>
      </c>
      <c r="AB86">
        <f t="shared" si="26"/>
        <v>8.5374486761999151</v>
      </c>
    </row>
    <row r="87" spans="1:28" x14ac:dyDescent="0.3">
      <c r="A87">
        <v>253</v>
      </c>
      <c r="B87" t="s">
        <v>87</v>
      </c>
      <c r="C87">
        <v>32082</v>
      </c>
      <c r="D87">
        <v>30</v>
      </c>
      <c r="E87" t="s">
        <v>7</v>
      </c>
      <c r="F87" t="s">
        <v>1</v>
      </c>
      <c r="G87">
        <v>3</v>
      </c>
      <c r="H87">
        <v>1982</v>
      </c>
      <c r="I87">
        <v>1835</v>
      </c>
      <c r="J87">
        <f t="shared" si="14"/>
        <v>92.583249243188703</v>
      </c>
      <c r="K87">
        <v>1613</v>
      </c>
      <c r="L87">
        <v>120</v>
      </c>
      <c r="M87">
        <v>1493</v>
      </c>
      <c r="N87">
        <v>3067</v>
      </c>
      <c r="O87">
        <v>5178</v>
      </c>
      <c r="P87">
        <v>3078</v>
      </c>
      <c r="Q87">
        <f t="shared" si="15"/>
        <v>230.42857142857142</v>
      </c>
      <c r="R87">
        <f t="shared" si="16"/>
        <v>17.142857142857142</v>
      </c>
      <c r="S87">
        <f t="shared" si="17"/>
        <v>213.28571428571428</v>
      </c>
      <c r="T87">
        <f t="shared" si="18"/>
        <v>438.14285714285717</v>
      </c>
      <c r="U87">
        <f t="shared" si="19"/>
        <v>739.71428571428567</v>
      </c>
      <c r="V87">
        <f t="shared" si="20"/>
        <v>439.71428571428572</v>
      </c>
      <c r="W87">
        <f t="shared" si="21"/>
        <v>12.557415336706889</v>
      </c>
      <c r="X87">
        <f t="shared" si="22"/>
        <v>0.93421564811210589</v>
      </c>
      <c r="Y87">
        <f t="shared" si="23"/>
        <v>11.623199688594783</v>
      </c>
      <c r="Z87">
        <f t="shared" si="24"/>
        <v>23.876994939665241</v>
      </c>
      <c r="AA87">
        <f t="shared" si="25"/>
        <v>40.311405216037365</v>
      </c>
      <c r="AB87">
        <f t="shared" si="26"/>
        <v>23.962631374075517</v>
      </c>
    </row>
    <row r="88" spans="1:28" x14ac:dyDescent="0.3">
      <c r="A88">
        <v>254</v>
      </c>
      <c r="B88" t="s">
        <v>88</v>
      </c>
      <c r="C88">
        <v>32083</v>
      </c>
      <c r="D88">
        <v>34</v>
      </c>
      <c r="E88" t="s">
        <v>12</v>
      </c>
      <c r="F88" t="s">
        <v>1</v>
      </c>
      <c r="G88">
        <v>3</v>
      </c>
      <c r="H88">
        <v>3535</v>
      </c>
      <c r="I88">
        <v>2309</v>
      </c>
      <c r="J88">
        <f t="shared" si="14"/>
        <v>65.318246110325319</v>
      </c>
      <c r="K88">
        <v>5651</v>
      </c>
      <c r="L88">
        <v>3206</v>
      </c>
      <c r="M88">
        <v>2445</v>
      </c>
      <c r="N88">
        <v>4358</v>
      </c>
      <c r="O88">
        <v>1605</v>
      </c>
      <c r="P88">
        <v>2426</v>
      </c>
      <c r="Q88">
        <f t="shared" si="15"/>
        <v>807.28571428571433</v>
      </c>
      <c r="R88">
        <f t="shared" si="16"/>
        <v>458</v>
      </c>
      <c r="S88">
        <f t="shared" si="17"/>
        <v>349.28571428571428</v>
      </c>
      <c r="T88">
        <f t="shared" si="18"/>
        <v>622.57142857142856</v>
      </c>
      <c r="U88">
        <f t="shared" si="19"/>
        <v>229.28571428571428</v>
      </c>
      <c r="V88">
        <f t="shared" si="20"/>
        <v>346.57142857142856</v>
      </c>
      <c r="W88">
        <f t="shared" si="21"/>
        <v>34.962568830043928</v>
      </c>
      <c r="X88">
        <f t="shared" si="22"/>
        <v>19.835426591598093</v>
      </c>
      <c r="Y88">
        <f t="shared" si="23"/>
        <v>15.127142238445831</v>
      </c>
      <c r="Z88">
        <f t="shared" si="24"/>
        <v>26.962816308853554</v>
      </c>
      <c r="AA88">
        <f t="shared" si="25"/>
        <v>9.9300872362803929</v>
      </c>
      <c r="AB88">
        <f t="shared" si="26"/>
        <v>15.009589803873041</v>
      </c>
    </row>
    <row r="89" spans="1:28" x14ac:dyDescent="0.3">
      <c r="A89">
        <v>255</v>
      </c>
      <c r="B89" t="s">
        <v>89</v>
      </c>
      <c r="C89">
        <v>32084</v>
      </c>
      <c r="D89">
        <v>27</v>
      </c>
      <c r="E89" t="s">
        <v>8</v>
      </c>
      <c r="F89" t="s">
        <v>1</v>
      </c>
      <c r="G89">
        <v>3</v>
      </c>
      <c r="H89">
        <v>1674</v>
      </c>
      <c r="I89">
        <v>758</v>
      </c>
      <c r="J89">
        <f t="shared" si="14"/>
        <v>45.28076463560334</v>
      </c>
      <c r="K89">
        <v>512</v>
      </c>
      <c r="L89">
        <v>434</v>
      </c>
      <c r="M89">
        <v>78</v>
      </c>
      <c r="N89">
        <v>1874</v>
      </c>
      <c r="O89">
        <v>2114</v>
      </c>
      <c r="P89">
        <v>767</v>
      </c>
      <c r="Q89">
        <f t="shared" si="15"/>
        <v>73.142857142857139</v>
      </c>
      <c r="R89">
        <f t="shared" si="16"/>
        <v>62</v>
      </c>
      <c r="S89">
        <f t="shared" si="17"/>
        <v>11.142857142857142</v>
      </c>
      <c r="T89">
        <f t="shared" si="18"/>
        <v>267.71428571428572</v>
      </c>
      <c r="U89">
        <f t="shared" si="19"/>
        <v>302</v>
      </c>
      <c r="V89">
        <f t="shared" si="20"/>
        <v>109.57142857142857</v>
      </c>
      <c r="W89">
        <f t="shared" si="21"/>
        <v>9.649453448925744</v>
      </c>
      <c r="X89">
        <f t="shared" si="22"/>
        <v>8.1794195250659634</v>
      </c>
      <c r="Y89">
        <f t="shared" si="23"/>
        <v>1.4700339238597813</v>
      </c>
      <c r="Z89">
        <f t="shared" si="24"/>
        <v>35.318507350169618</v>
      </c>
      <c r="AA89">
        <f t="shared" si="25"/>
        <v>39.841688654353561</v>
      </c>
      <c r="AB89">
        <f t="shared" si="26"/>
        <v>14.455333584621183</v>
      </c>
    </row>
    <row r="90" spans="1:28" x14ac:dyDescent="0.3">
      <c r="A90">
        <v>256</v>
      </c>
      <c r="B90" t="s">
        <v>29</v>
      </c>
      <c r="C90">
        <v>32085</v>
      </c>
      <c r="D90">
        <v>35</v>
      </c>
      <c r="E90" t="s">
        <v>29</v>
      </c>
      <c r="F90" t="s">
        <v>1</v>
      </c>
      <c r="G90">
        <v>3</v>
      </c>
      <c r="H90">
        <v>4292</v>
      </c>
      <c r="I90">
        <v>2853</v>
      </c>
      <c r="J90">
        <f t="shared" si="14"/>
        <v>66.472506989748368</v>
      </c>
      <c r="K90">
        <v>3180</v>
      </c>
      <c r="L90">
        <v>1583</v>
      </c>
      <c r="M90">
        <v>1597</v>
      </c>
      <c r="N90">
        <v>13999</v>
      </c>
      <c r="O90">
        <v>1459</v>
      </c>
      <c r="P90">
        <v>1266</v>
      </c>
      <c r="Q90">
        <f t="shared" si="15"/>
        <v>454.28571428571428</v>
      </c>
      <c r="R90">
        <f t="shared" si="16"/>
        <v>226.14285714285714</v>
      </c>
      <c r="S90">
        <f t="shared" si="17"/>
        <v>228.14285714285714</v>
      </c>
      <c r="T90">
        <f t="shared" si="18"/>
        <v>1999.8571428571429</v>
      </c>
      <c r="U90">
        <f t="shared" si="19"/>
        <v>208.42857142857142</v>
      </c>
      <c r="V90">
        <f t="shared" si="20"/>
        <v>180.85714285714286</v>
      </c>
      <c r="W90">
        <f t="shared" si="21"/>
        <v>15.923088478293526</v>
      </c>
      <c r="X90">
        <f t="shared" si="22"/>
        <v>7.9264934154524056</v>
      </c>
      <c r="Y90">
        <f t="shared" si="23"/>
        <v>7.9965950628411191</v>
      </c>
      <c r="Z90">
        <f t="shared" si="24"/>
        <v>70.096640128185868</v>
      </c>
      <c r="AA90">
        <f t="shared" si="25"/>
        <v>7.3055931100095135</v>
      </c>
      <c r="AB90">
        <f t="shared" si="26"/>
        <v>6.3391918281508186</v>
      </c>
    </row>
    <row r="91" spans="1:28" x14ac:dyDescent="0.3">
      <c r="A91">
        <v>257</v>
      </c>
      <c r="B91" t="s">
        <v>90</v>
      </c>
      <c r="C91">
        <v>32086</v>
      </c>
      <c r="D91">
        <v>36</v>
      </c>
      <c r="E91" t="s">
        <v>21</v>
      </c>
      <c r="F91" t="s">
        <v>1</v>
      </c>
      <c r="G91">
        <v>3</v>
      </c>
      <c r="H91">
        <v>4400</v>
      </c>
      <c r="I91">
        <v>2550</v>
      </c>
      <c r="J91">
        <f t="shared" si="14"/>
        <v>57.95454545454546</v>
      </c>
      <c r="K91">
        <v>4489</v>
      </c>
      <c r="L91">
        <v>2299</v>
      </c>
      <c r="M91">
        <v>2190</v>
      </c>
      <c r="N91">
        <v>7657</v>
      </c>
      <c r="O91">
        <v>2837</v>
      </c>
      <c r="P91">
        <v>1347</v>
      </c>
      <c r="Q91">
        <f t="shared" si="15"/>
        <v>641.28571428571433</v>
      </c>
      <c r="R91">
        <f t="shared" si="16"/>
        <v>328.42857142857144</v>
      </c>
      <c r="S91">
        <f t="shared" si="17"/>
        <v>312.85714285714283</v>
      </c>
      <c r="T91">
        <f t="shared" si="18"/>
        <v>1093.8571428571429</v>
      </c>
      <c r="U91">
        <f t="shared" si="19"/>
        <v>405.28571428571428</v>
      </c>
      <c r="V91">
        <f t="shared" si="20"/>
        <v>192.42857142857142</v>
      </c>
      <c r="W91">
        <f t="shared" si="21"/>
        <v>25.148459383753501</v>
      </c>
      <c r="X91">
        <f t="shared" si="22"/>
        <v>12.879551820728292</v>
      </c>
      <c r="Y91">
        <f t="shared" si="23"/>
        <v>12.268907563025209</v>
      </c>
      <c r="Z91">
        <f t="shared" si="24"/>
        <v>42.896358543417371</v>
      </c>
      <c r="AA91">
        <f t="shared" si="25"/>
        <v>15.893557422969188</v>
      </c>
      <c r="AB91">
        <f t="shared" si="26"/>
        <v>7.5462184873949578</v>
      </c>
    </row>
    <row r="92" spans="1:28" x14ac:dyDescent="0.3">
      <c r="A92">
        <v>258</v>
      </c>
      <c r="B92" t="s">
        <v>91</v>
      </c>
      <c r="C92">
        <v>32087</v>
      </c>
      <c r="D92">
        <v>31</v>
      </c>
      <c r="E92" t="s">
        <v>1</v>
      </c>
      <c r="F92" t="s">
        <v>1</v>
      </c>
      <c r="G92">
        <v>3</v>
      </c>
      <c r="H92">
        <v>1682</v>
      </c>
      <c r="I92">
        <v>860</v>
      </c>
      <c r="J92">
        <f t="shared" si="14"/>
        <v>51.129607609988113</v>
      </c>
      <c r="K92">
        <v>4059</v>
      </c>
      <c r="L92">
        <v>1842</v>
      </c>
      <c r="M92">
        <v>2217</v>
      </c>
      <c r="N92">
        <v>432</v>
      </c>
      <c r="O92">
        <v>72</v>
      </c>
      <c r="P92">
        <v>1217</v>
      </c>
      <c r="Q92">
        <f t="shared" si="15"/>
        <v>579.85714285714289</v>
      </c>
      <c r="R92">
        <f t="shared" si="16"/>
        <v>263.14285714285717</v>
      </c>
      <c r="S92">
        <f t="shared" si="17"/>
        <v>316.71428571428572</v>
      </c>
      <c r="T92">
        <f t="shared" si="18"/>
        <v>61.714285714285715</v>
      </c>
      <c r="U92">
        <f t="shared" si="19"/>
        <v>10.285714285714286</v>
      </c>
      <c r="V92">
        <f t="shared" si="20"/>
        <v>173.85714285714286</v>
      </c>
      <c r="W92">
        <f t="shared" si="21"/>
        <v>67.425249169435219</v>
      </c>
      <c r="X92">
        <f t="shared" si="22"/>
        <v>30.598006644518279</v>
      </c>
      <c r="Y92">
        <f t="shared" si="23"/>
        <v>36.82724252491694</v>
      </c>
      <c r="Z92">
        <f t="shared" si="24"/>
        <v>7.176079734219269</v>
      </c>
      <c r="AA92">
        <f t="shared" si="25"/>
        <v>1.1960132890365449</v>
      </c>
      <c r="AB92">
        <f t="shared" si="26"/>
        <v>20.215946843853821</v>
      </c>
    </row>
    <row r="93" spans="1:28" x14ac:dyDescent="0.3">
      <c r="A93">
        <v>259</v>
      </c>
      <c r="B93" t="s">
        <v>92</v>
      </c>
      <c r="C93">
        <v>32088</v>
      </c>
      <c r="D93">
        <v>34</v>
      </c>
      <c r="E93" t="s">
        <v>12</v>
      </c>
      <c r="F93" t="s">
        <v>1</v>
      </c>
      <c r="G93">
        <v>3</v>
      </c>
      <c r="H93">
        <v>2533</v>
      </c>
      <c r="I93">
        <v>1582</v>
      </c>
      <c r="J93">
        <f t="shared" si="14"/>
        <v>62.455586261350184</v>
      </c>
      <c r="K93">
        <v>4935</v>
      </c>
      <c r="L93">
        <v>2799</v>
      </c>
      <c r="M93">
        <v>2136</v>
      </c>
      <c r="N93">
        <v>4213</v>
      </c>
      <c r="O93">
        <v>566</v>
      </c>
      <c r="P93">
        <v>1004</v>
      </c>
      <c r="Q93">
        <f t="shared" si="15"/>
        <v>705</v>
      </c>
      <c r="R93">
        <f t="shared" si="16"/>
        <v>399.85714285714283</v>
      </c>
      <c r="S93">
        <f t="shared" si="17"/>
        <v>305.14285714285717</v>
      </c>
      <c r="T93">
        <f t="shared" si="18"/>
        <v>601.85714285714289</v>
      </c>
      <c r="U93">
        <f t="shared" si="19"/>
        <v>80.857142857142861</v>
      </c>
      <c r="V93">
        <f t="shared" si="20"/>
        <v>143.42857142857142</v>
      </c>
      <c r="W93">
        <f t="shared" si="21"/>
        <v>44.563843236409603</v>
      </c>
      <c r="X93">
        <f t="shared" si="22"/>
        <v>25.275419902474262</v>
      </c>
      <c r="Y93">
        <f t="shared" si="23"/>
        <v>19.288423333935345</v>
      </c>
      <c r="Z93">
        <f t="shared" si="24"/>
        <v>38.044067184395885</v>
      </c>
      <c r="AA93">
        <f t="shared" si="25"/>
        <v>5.1110709770633918</v>
      </c>
      <c r="AB93">
        <f t="shared" si="26"/>
        <v>9.0662813798085597</v>
      </c>
    </row>
    <row r="94" spans="1:28" x14ac:dyDescent="0.3">
      <c r="A94">
        <v>260</v>
      </c>
      <c r="B94" t="s">
        <v>93</v>
      </c>
      <c r="C94">
        <v>99011</v>
      </c>
      <c r="D94">
        <v>29</v>
      </c>
      <c r="E94" t="s">
        <v>19</v>
      </c>
      <c r="F94" t="s">
        <v>1</v>
      </c>
      <c r="G94">
        <v>3</v>
      </c>
      <c r="H94" t="s">
        <v>128</v>
      </c>
      <c r="I94" t="s">
        <v>128</v>
      </c>
      <c r="J94" t="s">
        <v>128</v>
      </c>
      <c r="K94" t="s">
        <v>128</v>
      </c>
      <c r="L94" t="s">
        <v>128</v>
      </c>
      <c r="M94" t="s">
        <v>128</v>
      </c>
      <c r="N94" t="s">
        <v>128</v>
      </c>
      <c r="O94" t="s">
        <v>128</v>
      </c>
      <c r="P94" t="s">
        <v>128</v>
      </c>
      <c r="Q94" t="s">
        <v>128</v>
      </c>
      <c r="R94" t="s">
        <v>128</v>
      </c>
      <c r="S94" t="s">
        <v>128</v>
      </c>
      <c r="T94" t="s">
        <v>128</v>
      </c>
      <c r="U94" t="s">
        <v>128</v>
      </c>
      <c r="V94" t="s">
        <v>128</v>
      </c>
      <c r="W94" t="s">
        <v>128</v>
      </c>
      <c r="X94" t="s">
        <v>128</v>
      </c>
      <c r="Y94" t="s">
        <v>128</v>
      </c>
      <c r="Z94" t="s">
        <v>128</v>
      </c>
      <c r="AA94" t="s">
        <v>128</v>
      </c>
      <c r="AB94" t="s">
        <v>128</v>
      </c>
    </row>
    <row r="95" spans="1:28" x14ac:dyDescent="0.3">
      <c r="A95">
        <v>261</v>
      </c>
      <c r="B95" t="s">
        <v>94</v>
      </c>
      <c r="C95">
        <v>99012</v>
      </c>
      <c r="D95">
        <v>29</v>
      </c>
      <c r="E95" t="s">
        <v>19</v>
      </c>
      <c r="F95" t="s">
        <v>1</v>
      </c>
      <c r="G95">
        <v>3</v>
      </c>
      <c r="H95" t="s">
        <v>128</v>
      </c>
      <c r="I95" t="s">
        <v>128</v>
      </c>
      <c r="J95" t="s">
        <v>128</v>
      </c>
      <c r="K95" t="s">
        <v>128</v>
      </c>
      <c r="L95" t="s">
        <v>128</v>
      </c>
      <c r="M95" t="s">
        <v>128</v>
      </c>
      <c r="N95" t="s">
        <v>128</v>
      </c>
      <c r="O95" t="s">
        <v>128</v>
      </c>
      <c r="P95" t="s">
        <v>128</v>
      </c>
      <c r="Q95" t="s">
        <v>128</v>
      </c>
      <c r="R95" t="s">
        <v>128</v>
      </c>
      <c r="S95" t="s">
        <v>128</v>
      </c>
      <c r="T95" t="s">
        <v>128</v>
      </c>
      <c r="U95" t="s">
        <v>128</v>
      </c>
      <c r="V95" t="s">
        <v>128</v>
      </c>
      <c r="W95" t="s">
        <v>128</v>
      </c>
      <c r="X95" t="s">
        <v>128</v>
      </c>
      <c r="Y95" t="s">
        <v>128</v>
      </c>
      <c r="Z95" t="s">
        <v>128</v>
      </c>
      <c r="AA95" t="s">
        <v>128</v>
      </c>
      <c r="AB95" t="s">
        <v>128</v>
      </c>
    </row>
    <row r="96" spans="1:28" x14ac:dyDescent="0.3">
      <c r="A96">
        <v>262</v>
      </c>
      <c r="B96" t="s">
        <v>95</v>
      </c>
      <c r="C96">
        <v>32089</v>
      </c>
      <c r="D96">
        <v>26</v>
      </c>
      <c r="E96" t="s">
        <v>0</v>
      </c>
      <c r="F96" t="s">
        <v>1</v>
      </c>
      <c r="G96">
        <v>3</v>
      </c>
      <c r="H96">
        <v>1448</v>
      </c>
      <c r="I96">
        <v>811</v>
      </c>
      <c r="J96">
        <f t="shared" si="14"/>
        <v>56.008287292817684</v>
      </c>
      <c r="K96">
        <v>919</v>
      </c>
      <c r="L96">
        <v>498</v>
      </c>
      <c r="M96">
        <v>421</v>
      </c>
      <c r="N96">
        <v>2746</v>
      </c>
      <c r="O96">
        <v>1497</v>
      </c>
      <c r="P96">
        <v>502</v>
      </c>
      <c r="Q96">
        <f t="shared" si="15"/>
        <v>131.28571428571428</v>
      </c>
      <c r="R96">
        <f t="shared" si="16"/>
        <v>71.142857142857139</v>
      </c>
      <c r="S96">
        <f t="shared" si="17"/>
        <v>60.142857142857146</v>
      </c>
      <c r="T96">
        <f t="shared" si="18"/>
        <v>392.28571428571428</v>
      </c>
      <c r="U96">
        <f t="shared" si="19"/>
        <v>213.85714285714286</v>
      </c>
      <c r="V96">
        <f t="shared" si="20"/>
        <v>71.714285714285708</v>
      </c>
      <c r="W96">
        <f t="shared" si="21"/>
        <v>16.188127532147259</v>
      </c>
      <c r="X96">
        <f t="shared" si="22"/>
        <v>8.7722388585520523</v>
      </c>
      <c r="Y96">
        <f t="shared" si="23"/>
        <v>7.4158886735952088</v>
      </c>
      <c r="Z96">
        <f t="shared" si="24"/>
        <v>48.370618284305088</v>
      </c>
      <c r="AA96">
        <f t="shared" si="25"/>
        <v>26.369561388057072</v>
      </c>
      <c r="AB96">
        <f t="shared" si="26"/>
        <v>8.8426986084199388</v>
      </c>
    </row>
    <row r="97" spans="1:28" x14ac:dyDescent="0.3">
      <c r="A97">
        <v>263</v>
      </c>
      <c r="B97" t="s">
        <v>96</v>
      </c>
      <c r="C97">
        <v>32090</v>
      </c>
      <c r="D97">
        <v>30</v>
      </c>
      <c r="E97" t="s">
        <v>7</v>
      </c>
      <c r="F97" t="s">
        <v>1</v>
      </c>
      <c r="G97">
        <v>3</v>
      </c>
      <c r="H97">
        <v>967</v>
      </c>
      <c r="I97">
        <v>790</v>
      </c>
      <c r="J97">
        <f t="shared" si="14"/>
        <v>81.69596690796277</v>
      </c>
      <c r="K97">
        <v>16</v>
      </c>
      <c r="L97">
        <v>4</v>
      </c>
      <c r="M97">
        <v>12</v>
      </c>
      <c r="N97">
        <v>3987</v>
      </c>
      <c r="O97">
        <v>1263</v>
      </c>
      <c r="P97">
        <v>228</v>
      </c>
      <c r="Q97">
        <f t="shared" si="15"/>
        <v>2.2857142857142856</v>
      </c>
      <c r="R97">
        <f t="shared" si="16"/>
        <v>0.5714285714285714</v>
      </c>
      <c r="S97">
        <f t="shared" si="17"/>
        <v>1.7142857142857142</v>
      </c>
      <c r="T97">
        <f t="shared" si="18"/>
        <v>569.57142857142856</v>
      </c>
      <c r="U97">
        <f t="shared" si="19"/>
        <v>180.42857142857142</v>
      </c>
      <c r="V97">
        <f t="shared" si="20"/>
        <v>32.571428571428569</v>
      </c>
      <c r="W97">
        <f t="shared" si="21"/>
        <v>0.28933092224231466</v>
      </c>
      <c r="X97">
        <f t="shared" si="22"/>
        <v>7.2332730560578665E-2</v>
      </c>
      <c r="Y97">
        <f t="shared" si="23"/>
        <v>0.21699819168173595</v>
      </c>
      <c r="Z97">
        <f t="shared" si="24"/>
        <v>72.097649186256774</v>
      </c>
      <c r="AA97">
        <f t="shared" si="25"/>
        <v>22.83905967450271</v>
      </c>
      <c r="AB97">
        <f t="shared" si="26"/>
        <v>4.1229656419529839</v>
      </c>
    </row>
    <row r="98" spans="1:28" x14ac:dyDescent="0.3">
      <c r="A98">
        <v>264</v>
      </c>
      <c r="B98" t="s">
        <v>97</v>
      </c>
      <c r="C98">
        <v>32091</v>
      </c>
      <c r="D98">
        <v>35</v>
      </c>
      <c r="E98" t="s">
        <v>29</v>
      </c>
      <c r="F98" t="s">
        <v>1</v>
      </c>
      <c r="G98">
        <v>3</v>
      </c>
      <c r="H98">
        <v>3309</v>
      </c>
      <c r="I98">
        <v>3184</v>
      </c>
      <c r="J98">
        <f t="shared" si="14"/>
        <v>96.2224236929586</v>
      </c>
      <c r="K98">
        <v>1804</v>
      </c>
      <c r="L98">
        <v>116</v>
      </c>
      <c r="M98">
        <v>1688</v>
      </c>
      <c r="N98">
        <v>11138</v>
      </c>
      <c r="O98">
        <v>6890</v>
      </c>
      <c r="P98">
        <v>2428</v>
      </c>
      <c r="Q98">
        <f t="shared" si="15"/>
        <v>257.71428571428572</v>
      </c>
      <c r="R98">
        <f t="shared" si="16"/>
        <v>16.571428571428573</v>
      </c>
      <c r="S98">
        <f t="shared" si="17"/>
        <v>241.14285714285714</v>
      </c>
      <c r="T98">
        <f t="shared" si="18"/>
        <v>1591.1428571428571</v>
      </c>
      <c r="U98">
        <f t="shared" si="19"/>
        <v>984.28571428571433</v>
      </c>
      <c r="V98">
        <f t="shared" si="20"/>
        <v>346.85714285714283</v>
      </c>
      <c r="W98">
        <f t="shared" si="21"/>
        <v>8.0940416367552039</v>
      </c>
      <c r="X98">
        <f t="shared" si="22"/>
        <v>0.52045944005743006</v>
      </c>
      <c r="Y98">
        <f t="shared" si="23"/>
        <v>7.5735821966977745</v>
      </c>
      <c r="Z98">
        <f t="shared" si="24"/>
        <v>49.973079684134959</v>
      </c>
      <c r="AA98">
        <f t="shared" si="25"/>
        <v>30.913496051687005</v>
      </c>
      <c r="AB98">
        <f t="shared" si="26"/>
        <v>10.893754486719311</v>
      </c>
    </row>
    <row r="99" spans="1:28" x14ac:dyDescent="0.3">
      <c r="A99">
        <v>265</v>
      </c>
      <c r="B99" t="s">
        <v>98</v>
      </c>
      <c r="C99">
        <v>32092</v>
      </c>
      <c r="D99">
        <v>36</v>
      </c>
      <c r="E99" t="s">
        <v>21</v>
      </c>
      <c r="F99" t="s">
        <v>1</v>
      </c>
      <c r="G99">
        <v>3</v>
      </c>
      <c r="H99">
        <v>1465</v>
      </c>
      <c r="I99">
        <v>1375</v>
      </c>
      <c r="J99">
        <f t="shared" si="14"/>
        <v>93.856655290102381</v>
      </c>
      <c r="K99">
        <v>2230</v>
      </c>
      <c r="L99">
        <v>330</v>
      </c>
      <c r="M99">
        <v>1900</v>
      </c>
      <c r="N99">
        <v>2895</v>
      </c>
      <c r="O99">
        <v>2300</v>
      </c>
      <c r="P99">
        <v>2200</v>
      </c>
      <c r="Q99">
        <f t="shared" si="15"/>
        <v>318.57142857142856</v>
      </c>
      <c r="R99">
        <f t="shared" si="16"/>
        <v>47.142857142857146</v>
      </c>
      <c r="S99">
        <f t="shared" si="17"/>
        <v>271.42857142857144</v>
      </c>
      <c r="T99">
        <f t="shared" si="18"/>
        <v>413.57142857142856</v>
      </c>
      <c r="U99">
        <f t="shared" si="19"/>
        <v>328.57142857142856</v>
      </c>
      <c r="V99">
        <f t="shared" si="20"/>
        <v>314.28571428571428</v>
      </c>
      <c r="W99">
        <f t="shared" si="21"/>
        <v>23.168831168831165</v>
      </c>
      <c r="X99">
        <f t="shared" si="22"/>
        <v>3.4285714285714288</v>
      </c>
      <c r="Y99">
        <f t="shared" si="23"/>
        <v>19.740259740259742</v>
      </c>
      <c r="Z99">
        <f t="shared" si="24"/>
        <v>30.077922077922075</v>
      </c>
      <c r="AA99">
        <f t="shared" si="25"/>
        <v>23.896103896103895</v>
      </c>
      <c r="AB99">
        <f t="shared" si="26"/>
        <v>22.857142857142858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Codebook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2022-03-12T17:37:50Z</dcterms:created>
  <dcterms:modified xsi:type="dcterms:W3CDTF">2022-06-06T09:50:10Z</dcterms:modified>
</cp:coreProperties>
</file>